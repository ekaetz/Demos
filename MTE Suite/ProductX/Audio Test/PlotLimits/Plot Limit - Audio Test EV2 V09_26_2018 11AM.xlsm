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MTE\Audio Test\Config\PlotLimits\"/>
    </mc:Choice>
  </mc:AlternateContent>
  <bookViews>
    <workbookView xWindow="0" yWindow="0" windowWidth="20745" windowHeight="11040"/>
  </bookViews>
  <sheets>
    <sheet name="Setup" sheetId="5" r:id="rId1"/>
    <sheet name="PlotLimitDef" sheetId="19" r:id="rId2"/>
    <sheet name="Noise Floor UL" sheetId="11" r:id="rId3"/>
    <sheet name="FreqResp Speaker LL" sheetId="4" r:id="rId4"/>
    <sheet name="FreqResp Speaker UL" sheetId="6" r:id="rId5"/>
    <sheet name="FreqResp Mic LL" sheetId="9" r:id="rId6"/>
    <sheet name="FreqResp Mic UL" sheetId="10" r:id="rId7"/>
    <sheet name="Norm THD UL" sheetId="23" r:id="rId8"/>
    <sheet name="Norm THD 0-200 UL" sheetId="16" r:id="rId9"/>
    <sheet name="Norm THD 201-800 UL" sheetId="20" r:id="rId10"/>
    <sheet name="Norm THD 801-6K UL" sheetId="21" r:id="rId11"/>
    <sheet name="Norm THD 6K-10K UL" sheetId="22" r:id="rId12"/>
    <sheet name="Norm THD Mic UL" sheetId="18" r:id="rId13"/>
    <sheet name="Norm RubBuz UL" sheetId="12" r:id="rId14"/>
    <sheet name="Norm RubBuz 0-200 UL" sheetId="24" r:id="rId15"/>
    <sheet name="Norm RubBuz 201-800 UL" sheetId="25" r:id="rId16"/>
    <sheet name="Norm RubBuz 801-2000 UL" sheetId="26" r:id="rId17"/>
    <sheet name="Percept RubBuz UL" sheetId="15" r:id="rId18"/>
    <sheet name="Percept RubBuz 0-200 UL" sheetId="27" r:id="rId19"/>
    <sheet name="Percept RubBuz 201-800 UL" sheetId="28" r:id="rId20"/>
    <sheet name="Percept RubBuz 801-6K UL" sheetId="29" r:id="rId21"/>
    <sheet name="Percept RubBuz 6K-10K UL" sheetId="30" r:id="rId22"/>
  </sheets>
  <calcPr calcId="162913"/>
</workbook>
</file>

<file path=xl/calcChain.xml><?xml version="1.0" encoding="utf-8"?>
<calcChain xmlns="http://schemas.openxmlformats.org/spreadsheetml/2006/main">
  <c r="F31" i="19" l="1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6" i="19"/>
  <c r="F15" i="19"/>
  <c r="F14" i="19"/>
  <c r="F13" i="19"/>
  <c r="F12" i="19"/>
  <c r="F11" i="19"/>
  <c r="F10" i="19"/>
  <c r="F9" i="19"/>
  <c r="F4" i="19"/>
  <c r="F5" i="19"/>
  <c r="F6" i="19"/>
  <c r="F7" i="19"/>
  <c r="F8" i="19"/>
  <c r="F17" i="19"/>
  <c r="F3" i="19"/>
  <c r="F2" i="19"/>
  <c r="I17" i="19"/>
  <c r="I4" i="19"/>
  <c r="I5" i="19"/>
  <c r="I6" i="19"/>
  <c r="I7" i="19"/>
  <c r="I8" i="19"/>
  <c r="I3" i="19"/>
  <c r="H7" i="19"/>
  <c r="H9" i="19"/>
  <c r="H10" i="19"/>
  <c r="H11" i="19"/>
  <c r="H12" i="19"/>
  <c r="H13" i="19"/>
  <c r="H16" i="19"/>
  <c r="H17" i="19"/>
  <c r="H18" i="19"/>
  <c r="H19" i="19"/>
  <c r="H21" i="19"/>
  <c r="H24" i="19"/>
  <c r="H26" i="19"/>
  <c r="H28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G29" i="19"/>
  <c r="G30" i="19" s="1"/>
  <c r="G31" i="19" s="1"/>
  <c r="H31" i="19" s="1"/>
  <c r="G25" i="19"/>
  <c r="G26" i="19" s="1"/>
  <c r="G27" i="19" s="1"/>
  <c r="H27" i="19" s="1"/>
  <c r="G22" i="19"/>
  <c r="G23" i="19" s="1"/>
  <c r="H23" i="19" s="1"/>
  <c r="G19" i="19"/>
  <c r="G20" i="19" s="1"/>
  <c r="H20" i="19" s="1"/>
  <c r="G14" i="19"/>
  <c r="G15" i="19" s="1"/>
  <c r="G16" i="19" s="1"/>
  <c r="G10" i="19"/>
  <c r="G11" i="19" s="1"/>
  <c r="G12" i="19" s="1"/>
  <c r="H25" i="19" l="1"/>
  <c r="H22" i="19"/>
  <c r="H30" i="19"/>
  <c r="H29" i="19"/>
  <c r="H15" i="19"/>
  <c r="H14" i="19"/>
  <c r="H4" i="19"/>
  <c r="H2" i="19"/>
  <c r="H3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2" i="19"/>
  <c r="H5" i="19" l="1"/>
  <c r="G8" i="19" l="1"/>
  <c r="H8" i="19" s="1"/>
  <c r="H6" i="19"/>
</calcChain>
</file>

<file path=xl/sharedStrings.xml><?xml version="1.0" encoding="utf-8"?>
<sst xmlns="http://schemas.openxmlformats.org/spreadsheetml/2006/main" count="267" uniqueCount="85">
  <si>
    <t>Frequency Response - Left Speaker</t>
  </si>
  <si>
    <t>Left Speaker</t>
  </si>
  <si>
    <t>Frequency Response - Right Speaker</t>
  </si>
  <si>
    <t>Right Speaker</t>
  </si>
  <si>
    <t>Noise Floor</t>
  </si>
  <si>
    <t>Noise Floor UL</t>
  </si>
  <si>
    <t>X</t>
  </si>
  <si>
    <t>Y</t>
  </si>
  <si>
    <t>Fail Code Prefix</t>
  </si>
  <si>
    <t>dB re 20u Pa</t>
  </si>
  <si>
    <t>Hz</t>
  </si>
  <si>
    <t>Order</t>
  </si>
  <si>
    <t>UUT Component</t>
  </si>
  <si>
    <t>Limit Plot</t>
  </si>
  <si>
    <t>Fail Code</t>
  </si>
  <si>
    <t>Fail Description</t>
  </si>
  <si>
    <t>Data Plot</t>
  </si>
  <si>
    <t>Fail Code Offset</t>
  </si>
  <si>
    <t>FreqResp Speaker LL</t>
  </si>
  <si>
    <t>FreqResp Speaker UL</t>
  </si>
  <si>
    <t>Limit Plot List</t>
  </si>
  <si>
    <t>FreqResp Mic LL</t>
  </si>
  <si>
    <t>FreqResp Mic UL</t>
  </si>
  <si>
    <t>Norm THD Mic UL</t>
  </si>
  <si>
    <t>Norm THD UL</t>
  </si>
  <si>
    <t>Norm THD 0-200 UL</t>
  </si>
  <si>
    <t>Norm THD 201-800 UL</t>
  </si>
  <si>
    <t>Norm THD 801-6K UL</t>
  </si>
  <si>
    <t>Norm THD 6K-10K UL</t>
  </si>
  <si>
    <t>Norm RubBuz UL</t>
  </si>
  <si>
    <t>Norm RubBuz 0-200 UL</t>
  </si>
  <si>
    <t>Norm RubBuz 201-800 UL</t>
  </si>
  <si>
    <t>Norm RubBuz 801-2000 UL</t>
  </si>
  <si>
    <t>Percept RubBuz UL</t>
  </si>
  <si>
    <t>Percept RubBuz 0-200 UL</t>
  </si>
  <si>
    <t>Percept RubBuz 201-800 UL</t>
  </si>
  <si>
    <t>Percept RubBuz 801-6K UL</t>
  </si>
  <si>
    <t>Percept RubBuz 6K-10K UL</t>
  </si>
  <si>
    <t>Microphone</t>
  </si>
  <si>
    <t>Test</t>
  </si>
  <si>
    <t>Frequency Response</t>
  </si>
  <si>
    <t>Normal THD</t>
  </si>
  <si>
    <t>Frequency Response - Microphone</t>
  </si>
  <si>
    <t>Normalized THD - Left Speaker</t>
  </si>
  <si>
    <t>Normalized THD - Right Speaker</t>
  </si>
  <si>
    <t>Normalized THD - Microphone</t>
  </si>
  <si>
    <t>Normal Rub and Buzz - Left Speaker</t>
  </si>
  <si>
    <t>Normal Rub and Buzz - Right Speaker</t>
  </si>
  <si>
    <t>Perceptual Rub and Buzz - Left Speaker</t>
  </si>
  <si>
    <t>Perceptual Rub and Buzz - Right Speaker</t>
  </si>
  <si>
    <t>Result Name</t>
  </si>
  <si>
    <t>Norm Rub and Buzz</t>
  </si>
  <si>
    <t>Percep Rub and Buzz</t>
  </si>
  <si>
    <t>dB re 20u Pa/sqrt(Hz)</t>
  </si>
  <si>
    <t>dB re 1 V</t>
  </si>
  <si>
    <t>%</t>
  </si>
  <si>
    <t>Phons</t>
  </si>
  <si>
    <t>Left Speaker Normal THD 0 to 200 Hz Above UL.  Possible faults: bad speaker, bad speaker to headstrap connection, bad headstrap constuction.</t>
  </si>
  <si>
    <t>Left Speaker Norm Rub and Buzz 0 to 200 Hz Above UL.  Possible faults: bad speaker, bad speaker to headstrap connection, bad headstrap constuction.</t>
  </si>
  <si>
    <t>Right Speaker Norm Rub and Buzz 0 to 200 Hz Above UL.  Possible faults: bad speaker, bad speaker to headstrap connection, bad headstrap constuction.</t>
  </si>
  <si>
    <t>Left Speaker Percep Rub and Buzz 0 to 200 Hz Above UL.  Possible faults: bad speaker, bad speaker to headstrap connection, bad headstrap constuction.</t>
  </si>
  <si>
    <t>Right Speaker Percep Rub and Buzz 0 to 200 Hz Above UL.  Possible faults: bad speaker, bad speaker to headstrap connection, bad headstrap constuction.</t>
  </si>
  <si>
    <t>Left Speaker Normal THD 200 to 800 Hz Above UL.   Possible faults: bad headstrap constuction.</t>
  </si>
  <si>
    <t>Right Speaker Normal THD 200 to 800 Hz Above UL.   Possible faults: bad headstrap constuction.</t>
  </si>
  <si>
    <t>Left Speaker Norm Rub and Buzz 200 to 800 Hz Above UL.   Possible faults: bad headstrap constuction.</t>
  </si>
  <si>
    <t>Right Speaker Norm Rub and Buzz 200 to 800 Hz Above UL.   Possible faults: bad headstrap constuction.</t>
  </si>
  <si>
    <t>Left Speaker Percep Rub and Buzz 200 to 800 Hz Above UL.   Possible faults: bad headstrap constuction.</t>
  </si>
  <si>
    <t>Right Speaker Percep Rub and Buzz 200 to 800 Hz Above UL.   Possible faults: bad headstrap constuction.</t>
  </si>
  <si>
    <t>Left Speaker Norm Rub and Buzz 800 to 2000 Hz Above UL.   Possible faults: bad speaker metal grill.</t>
  </si>
  <si>
    <t>Right Speaker Norm Rub and Buzz 800 to 2000 Hz Above UL.   Possible faults: bad speaker metal grill.</t>
  </si>
  <si>
    <t>Left Speaker Percep Rub and Buzz 800 to 6000 Hz Above UL.   Possible faults: bad speaker metal grill.</t>
  </si>
  <si>
    <t>Right Speaker Percep Rub and Buzz 800 to 6000 Hz Above UL.   Possible faults: bad speaker metal grill.</t>
  </si>
  <si>
    <t>Background noise too high.  Turn off noise sources in the area.  Check for bad seals on the acoustic chamber (gaskets and selant at holes where cables pass through.</t>
  </si>
  <si>
    <t>Right Speaker Percep Rub and Buzz 6K tp 10KHz Above UL.  Check for hight noise floor (due to sealsk on chamber).</t>
  </si>
  <si>
    <t>Right Speaker Normal THD UL 0 to 200 Hz Above UL.  Possible faults: bad speaker, bad speaker to headstrap connection, bad headstrap constuction.</t>
  </si>
  <si>
    <t>Left Speaker Normal THD 800 to 6000 Hz Above UL.   Possible faults: bad speaker metal grill.</t>
  </si>
  <si>
    <t>Right Speaker Normal THD 800 to 6000 Hz Above UL.   Possible faults: bad speaker metal grill.</t>
  </si>
  <si>
    <t>Left Speaker Percep Rub and Buzz 6K tp 10KHz Above UL.  Check for hight noise floor (due to seals on chamber).</t>
  </si>
  <si>
    <t>Right Speaker Normal THD 6K tp 10KHz Above UL.  Check for hight noise floor (due to seals on chamber).</t>
  </si>
  <si>
    <t>Left Speaker Normal THD 6K tp 10KHz Above UL.  Check for hight noise floor (due to seals on chamber).</t>
  </si>
  <si>
    <t>Old Y</t>
  </si>
  <si>
    <t>Orig EV2</t>
  </si>
  <si>
    <t>Orig Y</t>
  </si>
  <si>
    <t>Original Y</t>
  </si>
  <si>
    <t>Y 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</si>
</sst>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18" fillId="33" borderId="10" xfId="0" applyFont="1" applyFill="1" applyBorder="1" applyAlignment="1">
      <alignment vertical="center"/>
    </xf>
    <xf numFmtId="164" fontId="19" fillId="34" borderId="1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/>
    <xf numFmtId="0" fontId="0" fillId="0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6" fillId="38" borderId="0" xfId="0" applyFont="1" applyFill="1"/>
    <xf numFmtId="0" fontId="1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'Noise Floor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'Noise Floor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250</c:v>
                </c:pt>
                <c:pt idx="2">
                  <c:v>1000</c:v>
                </c:pt>
                <c:pt idx="3">
                  <c:v>20000</c:v>
                </c:pt>
              </c:numCache>
            </c:numRef>
          </c:xVal>
          <c:yVal>
            <c:numRef>
              <c:f>'Noise Floor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40</c:v>
                </c:pt>
                <c:pt idx="2">
                  <c:v>25</c:v>
                </c:pt>
                <c:pt idx="3">
                  <c:v>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37-4AFA-9972-CA422B9B9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39624"/>
        <c:axId val="276238448"/>
      </c:scatterChart>
      <c:valAx>
        <c:axId val="27623962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38448"/>
        <c:crosses val="autoZero"/>
        <c:crossBetween val="midCat"/>
      </c:valAx>
      <c:valAx>
        <c:axId val="27623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3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'FreqResp Speaker LL'!$B$1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Speaker LL'!$A$3:$A$13</c:f>
              <c:numCache>
                <c:formatCode>General</c:formatCode>
                <c:ptCount val="11"/>
                <c:pt idx="0">
                  <c:v>63</c:v>
                </c:pt>
                <c:pt idx="1">
                  <c:v>80</c:v>
                </c:pt>
                <c:pt idx="2">
                  <c:v>100</c:v>
                </c:pt>
                <c:pt idx="3">
                  <c:v>125</c:v>
                </c:pt>
                <c:pt idx="4">
                  <c:v>160</c:v>
                </c:pt>
                <c:pt idx="5">
                  <c:v>200</c:v>
                </c:pt>
                <c:pt idx="6">
                  <c:v>400</c:v>
                </c:pt>
                <c:pt idx="7">
                  <c:v>1000</c:v>
                </c:pt>
                <c:pt idx="8">
                  <c:v>1800</c:v>
                </c:pt>
                <c:pt idx="9">
                  <c:v>1900</c:v>
                </c:pt>
                <c:pt idx="10">
                  <c:v>5000</c:v>
                </c:pt>
              </c:numCache>
            </c:numRef>
          </c:xVal>
          <c:yVal>
            <c:numRef>
              <c:f>'FreqResp Speaker LL'!$B$3:$B$13</c:f>
              <c:numCache>
                <c:formatCode>General</c:formatCode>
                <c:ptCount val="11"/>
                <c:pt idx="0">
                  <c:v>76.39</c:v>
                </c:pt>
                <c:pt idx="1">
                  <c:v>82.39</c:v>
                </c:pt>
                <c:pt idx="2">
                  <c:v>85.39</c:v>
                </c:pt>
                <c:pt idx="3">
                  <c:v>87.39</c:v>
                </c:pt>
                <c:pt idx="4">
                  <c:v>89.39</c:v>
                </c:pt>
                <c:pt idx="5">
                  <c:v>89.39</c:v>
                </c:pt>
                <c:pt idx="6">
                  <c:v>89.39</c:v>
                </c:pt>
                <c:pt idx="7">
                  <c:v>89.39</c:v>
                </c:pt>
                <c:pt idx="8">
                  <c:v>88.39</c:v>
                </c:pt>
                <c:pt idx="9">
                  <c:v>88.39</c:v>
                </c:pt>
                <c:pt idx="10">
                  <c:v>84.39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41-4E92-8787-60B2DBAB0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38840"/>
        <c:axId val="276240016"/>
      </c:scatterChart>
      <c:valAx>
        <c:axId val="27623884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40016"/>
        <c:crosses val="autoZero"/>
        <c:crossBetween val="midCat"/>
      </c:valAx>
      <c:valAx>
        <c:axId val="2762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3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'FreqResp Speaker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Speaker UL'!$A$3:$A$13</c:f>
              <c:numCache>
                <c:formatCode>General</c:formatCode>
                <c:ptCount val="11"/>
                <c:pt idx="0">
                  <c:v>63</c:v>
                </c:pt>
                <c:pt idx="1">
                  <c:v>80</c:v>
                </c:pt>
                <c:pt idx="2">
                  <c:v>100</c:v>
                </c:pt>
                <c:pt idx="3">
                  <c:v>125</c:v>
                </c:pt>
                <c:pt idx="4">
                  <c:v>160</c:v>
                </c:pt>
                <c:pt idx="5">
                  <c:v>1000</c:v>
                </c:pt>
                <c:pt idx="6">
                  <c:v>1800</c:v>
                </c:pt>
                <c:pt idx="7">
                  <c:v>1900</c:v>
                </c:pt>
                <c:pt idx="8">
                  <c:v>5000</c:v>
                </c:pt>
                <c:pt idx="9">
                  <c:v>8000</c:v>
                </c:pt>
                <c:pt idx="10">
                  <c:v>16000</c:v>
                </c:pt>
              </c:numCache>
            </c:numRef>
          </c:xVal>
          <c:yVal>
            <c:numRef>
              <c:f>'FreqResp Speaker UL'!$B$3:$B$13</c:f>
              <c:numCache>
                <c:formatCode>General</c:formatCode>
                <c:ptCount val="11"/>
                <c:pt idx="0">
                  <c:v>87.47</c:v>
                </c:pt>
                <c:pt idx="1">
                  <c:v>93.47</c:v>
                </c:pt>
                <c:pt idx="2">
                  <c:v>97.47</c:v>
                </c:pt>
                <c:pt idx="3">
                  <c:v>98.47</c:v>
                </c:pt>
                <c:pt idx="4">
                  <c:v>99.47</c:v>
                </c:pt>
                <c:pt idx="5">
                  <c:v>99.47</c:v>
                </c:pt>
                <c:pt idx="6">
                  <c:v>99.47</c:v>
                </c:pt>
                <c:pt idx="7">
                  <c:v>99.47</c:v>
                </c:pt>
                <c:pt idx="8">
                  <c:v>96.47</c:v>
                </c:pt>
                <c:pt idx="9">
                  <c:v>96.47</c:v>
                </c:pt>
                <c:pt idx="10">
                  <c:v>96.47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0-4FA8-A0B7-76C738A33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41192"/>
        <c:axId val="276245504"/>
      </c:scatterChart>
      <c:valAx>
        <c:axId val="27624119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45504"/>
        <c:crosses val="autoZero"/>
        <c:crossBetween val="midCat"/>
      </c:valAx>
      <c:valAx>
        <c:axId val="2762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41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'FreqResp Mic LL'!$B$1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Mic LL'!$A$3:$A$13</c:f>
              <c:numCache>
                <c:formatCode>General</c:formatCode>
                <c:ptCount val="11"/>
                <c:pt idx="0">
                  <c:v>113.31</c:v>
                </c:pt>
                <c:pt idx="1">
                  <c:v>181.22</c:v>
                </c:pt>
                <c:pt idx="2">
                  <c:v>226.43</c:v>
                </c:pt>
                <c:pt idx="3">
                  <c:v>271.73</c:v>
                </c:pt>
                <c:pt idx="4">
                  <c:v>2086.02</c:v>
                </c:pt>
                <c:pt idx="5">
                  <c:v>2816.22</c:v>
                </c:pt>
                <c:pt idx="6">
                  <c:v>4800.8</c:v>
                </c:pt>
                <c:pt idx="7">
                  <c:v>9057.94</c:v>
                </c:pt>
                <c:pt idx="8">
                  <c:v>18115.98</c:v>
                </c:pt>
              </c:numCache>
            </c:numRef>
          </c:xVal>
          <c:yVal>
            <c:numRef>
              <c:f>'FreqResp Mic LL'!$B$3:$B$13</c:f>
              <c:numCache>
                <c:formatCode>General</c:formatCode>
                <c:ptCount val="11"/>
                <c:pt idx="0">
                  <c:v>-51.78</c:v>
                </c:pt>
                <c:pt idx="1">
                  <c:v>-27.48</c:v>
                </c:pt>
                <c:pt idx="2">
                  <c:v>-24.48</c:v>
                </c:pt>
                <c:pt idx="3">
                  <c:v>-23.48</c:v>
                </c:pt>
                <c:pt idx="4">
                  <c:v>-23.48</c:v>
                </c:pt>
                <c:pt idx="5">
                  <c:v>-26.48</c:v>
                </c:pt>
                <c:pt idx="6">
                  <c:v>-24.48</c:v>
                </c:pt>
                <c:pt idx="7">
                  <c:v>-24.48</c:v>
                </c:pt>
                <c:pt idx="8">
                  <c:v>-31.78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5-4A95-B76B-C1FB56C6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42760"/>
        <c:axId val="276243152"/>
      </c:scatterChart>
      <c:valAx>
        <c:axId val="2762427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43152"/>
        <c:crosses val="autoZero"/>
        <c:crossBetween val="midCat"/>
      </c:valAx>
      <c:valAx>
        <c:axId val="27624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4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'FreqResp Mic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Mic UL'!$A$3:$A$13</c:f>
              <c:numCache>
                <c:formatCode>General</c:formatCode>
                <c:ptCount val="11"/>
                <c:pt idx="0">
                  <c:v>113.27</c:v>
                </c:pt>
                <c:pt idx="1">
                  <c:v>181.17</c:v>
                </c:pt>
                <c:pt idx="2">
                  <c:v>226.44</c:v>
                </c:pt>
                <c:pt idx="3">
                  <c:v>271.70999999999998</c:v>
                </c:pt>
                <c:pt idx="4">
                  <c:v>1043.03</c:v>
                </c:pt>
                <c:pt idx="5">
                  <c:v>2086.06</c:v>
                </c:pt>
                <c:pt idx="6">
                  <c:v>4528.9399999999996</c:v>
                </c:pt>
                <c:pt idx="7">
                  <c:v>9057.99</c:v>
                </c:pt>
                <c:pt idx="8">
                  <c:v>18115.98</c:v>
                </c:pt>
              </c:numCache>
            </c:numRef>
          </c:xVal>
          <c:yVal>
            <c:numRef>
              <c:f>'FreqResp Mic UL'!$B$3:$B$13</c:f>
              <c:numCache>
                <c:formatCode>General</c:formatCode>
                <c:ptCount val="11"/>
                <c:pt idx="0">
                  <c:v>-26.82</c:v>
                </c:pt>
                <c:pt idx="1">
                  <c:v>-13.52</c:v>
                </c:pt>
                <c:pt idx="2">
                  <c:v>-12.52</c:v>
                </c:pt>
                <c:pt idx="3">
                  <c:v>-11.52</c:v>
                </c:pt>
                <c:pt idx="4">
                  <c:v>-11.82</c:v>
                </c:pt>
                <c:pt idx="5">
                  <c:v>-10.52</c:v>
                </c:pt>
                <c:pt idx="6">
                  <c:v>-11.52</c:v>
                </c:pt>
                <c:pt idx="7">
                  <c:v>-4.5199999999999996</c:v>
                </c:pt>
                <c:pt idx="8">
                  <c:v>-4.5199999999999996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D8-4823-9B79-16343DD58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1248"/>
        <c:axId val="278349680"/>
      </c:scatterChart>
      <c:valAx>
        <c:axId val="2783512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49680"/>
        <c:crosses val="autoZero"/>
        <c:crossBetween val="midCat"/>
      </c:valAx>
      <c:valAx>
        <c:axId val="27834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UL'!$A$3:$A$15</c:f>
              <c:numCache>
                <c:formatCode>General</c:formatCode>
                <c:ptCount val="13"/>
                <c:pt idx="0">
                  <c:v>70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201</c:v>
                </c:pt>
                <c:pt idx="5">
                  <c:v>250</c:v>
                </c:pt>
                <c:pt idx="6">
                  <c:v>700</c:v>
                </c:pt>
                <c:pt idx="7">
                  <c:v>800</c:v>
                </c:pt>
                <c:pt idx="8">
                  <c:v>801</c:v>
                </c:pt>
                <c:pt idx="9">
                  <c:v>1000</c:v>
                </c:pt>
                <c:pt idx="10">
                  <c:v>6000</c:v>
                </c:pt>
                <c:pt idx="11">
                  <c:v>6001</c:v>
                </c:pt>
                <c:pt idx="12">
                  <c:v>10000</c:v>
                </c:pt>
              </c:numCache>
            </c:numRef>
          </c:xVal>
          <c:yVal>
            <c:numRef>
              <c:f>'Norm THD UL'!$B$3:$B$15</c:f>
              <c:numCache>
                <c:formatCode>General</c:formatCode>
                <c:ptCount val="13"/>
                <c:pt idx="0">
                  <c:v>50</c:v>
                </c:pt>
                <c:pt idx="1">
                  <c:v>33</c:v>
                </c:pt>
                <c:pt idx="2">
                  <c:v>10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C-4EA5-9F49-0B753FCA7DC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THD UL'!$A$3:$A$15</c:f>
              <c:numCache>
                <c:formatCode>General</c:formatCode>
                <c:ptCount val="13"/>
                <c:pt idx="0">
                  <c:v>70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201</c:v>
                </c:pt>
                <c:pt idx="5">
                  <c:v>250</c:v>
                </c:pt>
                <c:pt idx="6">
                  <c:v>700</c:v>
                </c:pt>
                <c:pt idx="7">
                  <c:v>800</c:v>
                </c:pt>
                <c:pt idx="8">
                  <c:v>801</c:v>
                </c:pt>
                <c:pt idx="9">
                  <c:v>1000</c:v>
                </c:pt>
                <c:pt idx="10">
                  <c:v>6000</c:v>
                </c:pt>
                <c:pt idx="11">
                  <c:v>6001</c:v>
                </c:pt>
                <c:pt idx="12">
                  <c:v>10000</c:v>
                </c:pt>
              </c:numCache>
            </c:numRef>
          </c:xVal>
          <c:yVal>
            <c:numRef>
              <c:f>'Norm THD UL'!$C$3:$C$15</c:f>
              <c:numCache>
                <c:formatCode>General</c:formatCode>
                <c:ptCount val="13"/>
                <c:pt idx="0">
                  <c:v>50</c:v>
                </c:pt>
                <c:pt idx="1">
                  <c:v>33</c:v>
                </c:pt>
                <c:pt idx="2">
                  <c:v>10</c:v>
                </c:pt>
                <c:pt idx="5">
                  <c:v>5</c:v>
                </c:pt>
                <c:pt idx="6">
                  <c:v>5</c:v>
                </c:pt>
                <c:pt idx="9">
                  <c:v>3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0C-4EA5-9F49-0B753FCA7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0856"/>
        <c:axId val="278351640"/>
      </c:scatterChart>
      <c:valAx>
        <c:axId val="278350856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1640"/>
        <c:crosses val="autoZero"/>
        <c:crossBetween val="midCat"/>
      </c:valAx>
      <c:valAx>
        <c:axId val="27835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0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'Norm THD 0-200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0-200 UL'!$A$3:$A$13</c:f>
              <c:numCache>
                <c:formatCode>General</c:formatCode>
                <c:ptCount val="11"/>
                <c:pt idx="0">
                  <c:v>70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'Norm THD 0-200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33</c:v>
                </c:pt>
                <c:pt idx="2">
                  <c:v>10</c:v>
                </c:pt>
                <c:pt idx="3">
                  <c:v>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8CB-9301-CF4693CE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2032"/>
        <c:axId val="278353208"/>
      </c:scatterChart>
      <c:valAx>
        <c:axId val="2783520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3208"/>
        <c:crosses val="autoZero"/>
        <c:crossBetween val="midCat"/>
      </c:valAx>
      <c:valAx>
        <c:axId val="27835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'Norm THD 201-800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201-800 UL'!$A$3:$A$13</c:f>
              <c:numCache>
                <c:formatCode>General</c:formatCode>
                <c:ptCount val="11"/>
                <c:pt idx="0">
                  <c:v>201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'Norm THD 201-800 UL'!$B$3:$B$13</c:f>
              <c:numCache>
                <c:formatCode>General</c:formatCode>
                <c:ptCount val="11"/>
                <c:pt idx="0">
                  <c:v>7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2B-4E11-9D56-5DEB89A80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3600"/>
        <c:axId val="278353992"/>
      </c:scatterChart>
      <c:valAx>
        <c:axId val="2783536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3992"/>
        <c:crosses val="autoZero"/>
        <c:crossBetween val="midCat"/>
      </c:valAx>
      <c:valAx>
        <c:axId val="27835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'Norm THD 801-6K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801-6K UL'!$A$3:$A$13</c:f>
              <c:numCache>
                <c:formatCode>General</c:formatCode>
                <c:ptCount val="11"/>
                <c:pt idx="0">
                  <c:v>801</c:v>
                </c:pt>
                <c:pt idx="1">
                  <c:v>6000</c:v>
                </c:pt>
              </c:numCache>
            </c:numRef>
          </c:xVal>
          <c:yVal>
            <c:numRef>
              <c:f>'Norm THD 801-6K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B-4A05-A938-5931C82DD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49288"/>
        <c:axId val="278354384"/>
      </c:scatterChart>
      <c:valAx>
        <c:axId val="2783492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4384"/>
        <c:crosses val="autoZero"/>
        <c:crossBetween val="midCat"/>
      </c:valAx>
      <c:valAx>
        <c:axId val="27835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4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'Norm THD 6K-10K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6K-10K UL'!$A$3:$A$13</c:f>
              <c:numCache>
                <c:formatCode>General</c:formatCode>
                <c:ptCount val="11"/>
                <c:pt idx="0">
                  <c:v>6001</c:v>
                </c:pt>
                <c:pt idx="1">
                  <c:v>10000</c:v>
                </c:pt>
              </c:numCache>
            </c:numRef>
          </c:xVal>
          <c:yVal>
            <c:numRef>
              <c:f>'Norm THD 6K-10K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EA-4A42-B9B4-6DA823D7B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2816"/>
        <c:axId val="278354776"/>
      </c:scatterChart>
      <c:valAx>
        <c:axId val="27835281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4776"/>
        <c:crosses val="autoZero"/>
        <c:crossBetween val="midCat"/>
      </c:valAx>
      <c:valAx>
        <c:axId val="27835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'Norm THD Mic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Mic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10000</c:v>
                </c:pt>
              </c:numCache>
            </c:numRef>
          </c:xVal>
          <c:yVal>
            <c:numRef>
              <c:f>'Norm THD Mic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10</c:v>
                </c:pt>
                <c:pt idx="2">
                  <c:v>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79-4E9A-A90A-7F6F72332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48896"/>
        <c:axId val="278355560"/>
      </c:scatterChart>
      <c:valAx>
        <c:axId val="27834889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55560"/>
        <c:crosses val="autoZero"/>
        <c:crossBetween val="midCat"/>
      </c:valAx>
      <c:valAx>
        <c:axId val="27835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4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UL'!$A$3:$A$8</c:f>
              <c:numCache>
                <c:formatCode>General</c:formatCode>
                <c:ptCount val="6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  <c:pt idx="3">
                  <c:v>800</c:v>
                </c:pt>
                <c:pt idx="4">
                  <c:v>801</c:v>
                </c:pt>
                <c:pt idx="5">
                  <c:v>2000</c:v>
                </c:pt>
              </c:numCache>
            </c:numRef>
          </c:xVal>
          <c:yVal>
            <c:numRef>
              <c:f>'Norm RubBuz UL'!$B$3:$B$8</c:f>
              <c:numCache>
                <c:formatCode>General</c:formatCode>
                <c:ptCount val="6"/>
                <c:pt idx="0">
                  <c:v>2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0-4B78-B0C5-489659C2727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UL'!$A$3:$A$8</c:f>
              <c:numCache>
                <c:formatCode>General</c:formatCode>
                <c:ptCount val="6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  <c:pt idx="3">
                  <c:v>800</c:v>
                </c:pt>
                <c:pt idx="4">
                  <c:v>801</c:v>
                </c:pt>
                <c:pt idx="5">
                  <c:v>2000</c:v>
                </c:pt>
              </c:numCache>
            </c:numRef>
          </c:xVal>
          <c:yVal>
            <c:numRef>
              <c:f>'Norm RubBuz UL'!$C$3:$C$8</c:f>
              <c:numCache>
                <c:formatCode>General</c:formatCode>
                <c:ptCount val="6"/>
                <c:pt idx="0">
                  <c:v>2</c:v>
                </c:pt>
                <c:pt idx="1">
                  <c:v>0.3</c:v>
                </c:pt>
                <c:pt idx="5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19-44E8-B969-D6C9647BC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2352"/>
        <c:axId val="11993136"/>
      </c:scatterChart>
      <c:valAx>
        <c:axId val="119923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3136"/>
        <c:crosses val="autoZero"/>
        <c:crossBetween val="midCat"/>
      </c:valAx>
      <c:valAx>
        <c:axId val="1199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0-200 UL'!$A$3:$A$7</c:f>
              <c:numCache>
                <c:formatCode>General</c:formatCode>
                <c:ptCount val="5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</c:numCache>
            </c:numRef>
          </c:xVal>
          <c:yVal>
            <c:numRef>
              <c:f>'Norm RubBuz 0-200 UL'!$B$3:$B$7</c:f>
              <c:numCache>
                <c:formatCode>General</c:formatCode>
                <c:ptCount val="5"/>
                <c:pt idx="0">
                  <c:v>2</c:v>
                </c:pt>
                <c:pt idx="1">
                  <c:v>0.3</c:v>
                </c:pt>
                <c:pt idx="2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1D-4198-9B84-AA71E9388B2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0-200 UL'!$A$3:$A$7</c:f>
              <c:numCache>
                <c:formatCode>General</c:formatCode>
                <c:ptCount val="5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</c:numCache>
            </c:numRef>
          </c:xVal>
          <c:yVal>
            <c:numRef>
              <c:f>'Norm RubBuz 0-200 UL'!$C$3:$C$7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1D-4198-9B84-AA71E9388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43936"/>
        <c:axId val="472478896"/>
      </c:scatterChart>
      <c:valAx>
        <c:axId val="27624393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78896"/>
        <c:crosses val="autoZero"/>
        <c:crossBetween val="midCat"/>
      </c:valAx>
      <c:valAx>
        <c:axId val="4724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4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201-800 UL'!$A$3:$A$7</c:f>
              <c:numCache>
                <c:formatCode>General</c:formatCode>
                <c:ptCount val="5"/>
                <c:pt idx="0">
                  <c:v>201</c:v>
                </c:pt>
                <c:pt idx="1">
                  <c:v>800</c:v>
                </c:pt>
              </c:numCache>
            </c:numRef>
          </c:xVal>
          <c:yVal>
            <c:numRef>
              <c:f>'Norm RubBuz 201-800 UL'!$B$3:$B$7</c:f>
              <c:numCache>
                <c:formatCode>General</c:formatCode>
                <c:ptCount val="5"/>
                <c:pt idx="0">
                  <c:v>0.3</c:v>
                </c:pt>
                <c:pt idx="1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46-4A15-A8C6-52B7A152AF8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201-800 UL'!$A$3:$A$7</c:f>
              <c:numCache>
                <c:formatCode>General</c:formatCode>
                <c:ptCount val="5"/>
                <c:pt idx="0">
                  <c:v>201</c:v>
                </c:pt>
                <c:pt idx="1">
                  <c:v>800</c:v>
                </c:pt>
              </c:numCache>
            </c:numRef>
          </c:xVal>
          <c:yVal>
            <c:numRef>
              <c:f>'Norm RubBuz 201-800 UL'!$C$3:$C$7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46-4A15-A8C6-52B7A152A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79680"/>
        <c:axId val="472480072"/>
      </c:scatterChart>
      <c:valAx>
        <c:axId val="4724796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0072"/>
        <c:crosses val="autoZero"/>
        <c:crossBetween val="midCat"/>
      </c:valAx>
      <c:valAx>
        <c:axId val="47248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7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801-2000 UL'!$A$3:$A$7</c:f>
              <c:numCache>
                <c:formatCode>General</c:formatCode>
                <c:ptCount val="5"/>
                <c:pt idx="0">
                  <c:v>801</c:v>
                </c:pt>
                <c:pt idx="1">
                  <c:v>2000</c:v>
                </c:pt>
              </c:numCache>
            </c:numRef>
          </c:xVal>
          <c:yVal>
            <c:numRef>
              <c:f>'Norm RubBuz 801-2000 UL'!$B$3:$B$7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B8-43E1-A810-22006BF453F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801-2000 UL'!$A$3:$A$7</c:f>
              <c:numCache>
                <c:formatCode>General</c:formatCode>
                <c:ptCount val="5"/>
                <c:pt idx="0">
                  <c:v>801</c:v>
                </c:pt>
                <c:pt idx="1">
                  <c:v>2000</c:v>
                </c:pt>
              </c:numCache>
            </c:numRef>
          </c:xVal>
          <c:yVal>
            <c:numRef>
              <c:f>'Norm RubBuz 801-2000 UL'!$C$3:$C$7</c:f>
              <c:numCache>
                <c:formatCode>General</c:formatCode>
                <c:ptCount val="5"/>
                <c:pt idx="0">
                  <c:v>0.3</c:v>
                </c:pt>
                <c:pt idx="1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B8-43E1-A810-22006BF45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79288"/>
        <c:axId val="472484776"/>
      </c:scatterChart>
      <c:valAx>
        <c:axId val="4724792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4776"/>
        <c:crosses val="autoZero"/>
        <c:crossBetween val="midCat"/>
      </c:valAx>
      <c:valAx>
        <c:axId val="47248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7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'Percept RubBuz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150</c:v>
                </c:pt>
                <c:pt idx="2">
                  <c:v>200</c:v>
                </c:pt>
                <c:pt idx="3">
                  <c:v>201</c:v>
                </c:pt>
                <c:pt idx="4">
                  <c:v>800</c:v>
                </c:pt>
                <c:pt idx="5">
                  <c:v>801</c:v>
                </c:pt>
                <c:pt idx="6">
                  <c:v>6000</c:v>
                </c:pt>
                <c:pt idx="7">
                  <c:v>6001</c:v>
                </c:pt>
                <c:pt idx="8">
                  <c:v>10000</c:v>
                </c:pt>
              </c:numCache>
            </c:numRef>
          </c:xVal>
          <c:yVal>
            <c:numRef>
              <c:f>'Percept RubBuz UL'!$B$3:$B$13</c:f>
              <c:numCache>
                <c:formatCode>General</c:formatCode>
                <c:ptCount val="11"/>
                <c:pt idx="0">
                  <c:v>12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CE-4A19-AADE-400756B8C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5168"/>
        <c:axId val="472483208"/>
      </c:scatterChart>
      <c:valAx>
        <c:axId val="4724851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3208"/>
        <c:crosses val="autoZero"/>
        <c:crossBetween val="midCat"/>
      </c:valAx>
      <c:valAx>
        <c:axId val="47248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'Percept RubBuz 0-200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0-200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150</c:v>
                </c:pt>
                <c:pt idx="2">
                  <c:v>200</c:v>
                </c:pt>
              </c:numCache>
            </c:numRef>
          </c:xVal>
          <c:yVal>
            <c:numRef>
              <c:f>'Percept RubBuz 0-200 UL'!$B$3:$B$13</c:f>
              <c:numCache>
                <c:formatCode>General</c:formatCode>
                <c:ptCount val="11"/>
                <c:pt idx="0">
                  <c:v>12</c:v>
                </c:pt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9A-407D-81F0-A53A2221B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3600"/>
        <c:axId val="472483992"/>
      </c:scatterChart>
      <c:valAx>
        <c:axId val="4724836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3992"/>
        <c:crosses val="autoZero"/>
        <c:crossBetween val="midCat"/>
      </c:valAx>
      <c:valAx>
        <c:axId val="47248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'Percept RubBuz 201-800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201-800 UL'!$A$3:$A$13</c:f>
              <c:numCache>
                <c:formatCode>General</c:formatCode>
                <c:ptCount val="11"/>
                <c:pt idx="0">
                  <c:v>201</c:v>
                </c:pt>
                <c:pt idx="1">
                  <c:v>800</c:v>
                </c:pt>
              </c:numCache>
            </c:numRef>
          </c:xVal>
          <c:yVal>
            <c:numRef>
              <c:f>'Percept RubBuz 201-800 UL'!$B$3:$B$13</c:f>
              <c:numCache>
                <c:formatCode>General</c:formatCode>
                <c:ptCount val="11"/>
                <c:pt idx="0">
                  <c:v>0.1</c:v>
                </c:pt>
                <c:pt idx="1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AE-444B-8FA4-BF956AC9A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5560"/>
        <c:axId val="472480856"/>
      </c:scatterChart>
      <c:valAx>
        <c:axId val="4724855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0856"/>
        <c:crosses val="autoZero"/>
        <c:crossBetween val="midCat"/>
      </c:valAx>
      <c:valAx>
        <c:axId val="47248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5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'Percept RubBuz 801-6K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801-6K UL'!$A$3:$A$13</c:f>
              <c:numCache>
                <c:formatCode>General</c:formatCode>
                <c:ptCount val="11"/>
                <c:pt idx="0">
                  <c:v>801</c:v>
                </c:pt>
                <c:pt idx="1">
                  <c:v>6000</c:v>
                </c:pt>
              </c:numCache>
            </c:numRef>
          </c:xVal>
          <c:yVal>
            <c:numRef>
              <c:f>'Percept RubBuz 801-6K UL'!$B$3:$B$13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33-4D0C-885D-0EF70DAE3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1248"/>
        <c:axId val="472481640"/>
      </c:scatterChart>
      <c:valAx>
        <c:axId val="4724812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1640"/>
        <c:crosses val="autoZero"/>
        <c:crossBetween val="midCat"/>
      </c:valAx>
      <c:valAx>
        <c:axId val="47248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'Percept RubBuz 6K-10K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6K-10K UL'!$A$3:$A$13</c:f>
              <c:numCache>
                <c:formatCode>General</c:formatCode>
                <c:ptCount val="11"/>
                <c:pt idx="0">
                  <c:v>6001</c:v>
                </c:pt>
                <c:pt idx="1">
                  <c:v>10000</c:v>
                </c:pt>
              </c:numCache>
            </c:numRef>
          </c:xVal>
          <c:yVal>
            <c:numRef>
              <c:f>'Percept RubBuz 6K-10K UL'!$B$3:$B$13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0F-4810-8FF5-42BB2EBD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05704"/>
        <c:axId val="472110800"/>
      </c:scatterChart>
      <c:valAx>
        <c:axId val="4721057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0800"/>
        <c:crosses val="autoZero"/>
        <c:crossBetween val="midCat"/>
      </c:valAx>
      <c:valAx>
        <c:axId val="47211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38100</xdr:rowOff>
        </xdr:from>
        <xdr:to>
          <xdr:col>0</xdr:col>
          <xdr:colOff>2066925</xdr:colOff>
          <xdr:row>2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Limit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9525</xdr:rowOff>
        </xdr:from>
        <xdr:to>
          <xdr:col>0</xdr:col>
          <xdr:colOff>1895475</xdr:colOff>
          <xdr:row>6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List of Plot Limits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2</xdr:row>
      <xdr:rowOff>14287</xdr:rowOff>
    </xdr:from>
    <xdr:to>
      <xdr:col>10</xdr:col>
      <xdr:colOff>423862</xdr:colOff>
      <xdr:row>16</xdr:row>
      <xdr:rowOff>90487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576262</xdr:colOff>
      <xdr:row>2</xdr:row>
      <xdr:rowOff>42862</xdr:rowOff>
    </xdr:from>
    <xdr:to>
      <xdr:col>10</xdr:col>
      <xdr:colOff>190500</xdr:colOff>
      <xdr:row>17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0</xdr:row>
      <xdr:rowOff>138112</xdr:rowOff>
    </xdr:from>
    <xdr:to>
      <xdr:col>9</xdr:col>
      <xdr:colOff>342900</xdr:colOff>
      <xdr:row>16</xdr:row>
      <xdr:rowOff>23812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576262</xdr:colOff>
      <xdr:row>2</xdr:row>
      <xdr:rowOff>42862</xdr:rowOff>
    </xdr:from>
    <xdr:to>
      <xdr:col>10</xdr:col>
      <xdr:colOff>190500</xdr:colOff>
      <xdr:row>17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576262</xdr:colOff>
      <xdr:row>2</xdr:row>
      <xdr:rowOff>42862</xdr:rowOff>
    </xdr:from>
    <xdr:to>
      <xdr:col>10</xdr:col>
      <xdr:colOff>190500</xdr:colOff>
      <xdr:row>17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9"/>
  <sheetViews>
    <sheetView tabSelected="1" workbookViewId="0">
      <selection activeCell="B13" sqref="B13"/>
    </sheetView>
  </sheetViews>
  <sheetFormatPr defaultRowHeight="15" x14ac:dyDescent="0.25"/>
  <cols>
    <col min="1" max="1" width="31.85546875" customWidth="1"/>
    <col min="2" max="2" width="35" customWidth="1"/>
  </cols>
  <sheetData>
    <row r="1" spans="1:4" ht="21" x14ac:dyDescent="0.25">
      <c r="A1" s="1" t="s">
        <v>8</v>
      </c>
      <c r="B1" s="2">
        <v>11</v>
      </c>
    </row>
    <row r="8" spans="1:4" x14ac:dyDescent="0.25">
      <c r="A8" s="11" t="s">
        <v>20</v>
      </c>
    </row>
    <row r="9" spans="1:4" x14ac:dyDescent="0.25">
      <c r="D9" s="4"/>
    </row>
    <row r="10" spans="1:4" x14ac:dyDescent="0.25">
      <c r="A10" t="s">
        <v>5</v>
      </c>
      <c r="D10" s="4"/>
    </row>
    <row r="11" spans="1:4" x14ac:dyDescent="0.25">
      <c r="A11" t="s">
        <v>18</v>
      </c>
      <c r="D11" s="4"/>
    </row>
    <row r="12" spans="1:4" x14ac:dyDescent="0.25">
      <c r="A12" t="s">
        <v>19</v>
      </c>
      <c r="D12" s="4"/>
    </row>
    <row r="13" spans="1:4" x14ac:dyDescent="0.25">
      <c r="A13" t="s">
        <v>21</v>
      </c>
      <c r="D13" s="4"/>
    </row>
    <row r="14" spans="1:4" x14ac:dyDescent="0.25">
      <c r="A14" t="s">
        <v>22</v>
      </c>
    </row>
    <row r="15" spans="1:4" x14ac:dyDescent="0.25">
      <c r="A15" t="s">
        <v>24</v>
      </c>
      <c r="D15" s="4"/>
    </row>
    <row r="16" spans="1:4" x14ac:dyDescent="0.25">
      <c r="A16" t="s">
        <v>25</v>
      </c>
      <c r="D16" s="4"/>
    </row>
    <row r="17" spans="1:4" x14ac:dyDescent="0.25">
      <c r="A17" t="s">
        <v>26</v>
      </c>
      <c r="D17" s="4"/>
    </row>
    <row r="18" spans="1:4" x14ac:dyDescent="0.25">
      <c r="A18" t="s">
        <v>27</v>
      </c>
    </row>
    <row r="19" spans="1:4" x14ac:dyDescent="0.25">
      <c r="A19" t="s">
        <v>28</v>
      </c>
      <c r="D19" s="4"/>
    </row>
    <row r="20" spans="1:4" x14ac:dyDescent="0.25">
      <c r="A20" t="s">
        <v>23</v>
      </c>
      <c r="D20" s="4"/>
    </row>
    <row r="21" spans="1:4" x14ac:dyDescent="0.25">
      <c r="A21" t="s">
        <v>29</v>
      </c>
    </row>
    <row r="22" spans="1:4" x14ac:dyDescent="0.25">
      <c r="A22" t="s">
        <v>30</v>
      </c>
    </row>
    <row r="23" spans="1:4" x14ac:dyDescent="0.25">
      <c r="A23" t="s">
        <v>31</v>
      </c>
    </row>
    <row r="24" spans="1:4" x14ac:dyDescent="0.25">
      <c r="A24" t="s">
        <v>32</v>
      </c>
    </row>
    <row r="25" spans="1:4" x14ac:dyDescent="0.25">
      <c r="A25" t="s">
        <v>33</v>
      </c>
    </row>
    <row r="26" spans="1:4" x14ac:dyDescent="0.25">
      <c r="A26" t="s">
        <v>34</v>
      </c>
    </row>
    <row r="27" spans="1:4" x14ac:dyDescent="0.25">
      <c r="A27" t="s">
        <v>35</v>
      </c>
    </row>
    <row r="28" spans="1:4" x14ac:dyDescent="0.25">
      <c r="A28" t="s">
        <v>36</v>
      </c>
    </row>
    <row r="29" spans="1:4" x14ac:dyDescent="0.25">
      <c r="A29" t="s">
        <v>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PlotLimsAsCsv">
                <anchor moveWithCells="1" sizeWithCells="1">
                  <from>
                    <xdr:col>0</xdr:col>
                    <xdr:colOff>85725</xdr:colOff>
                    <xdr:row>1</xdr:row>
                    <xdr:rowOff>38100</xdr:rowOff>
                  </from>
                  <to>
                    <xdr:col>0</xdr:col>
                    <xdr:colOff>2066925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GetPlotList">
                <anchor moveWithCells="1" sizeWithCells="1">
                  <from>
                    <xdr:col>0</xdr:col>
                    <xdr:colOff>76200</xdr:colOff>
                    <xdr:row>5</xdr:row>
                    <xdr:rowOff>9525</xdr:rowOff>
                  </from>
                  <to>
                    <xdr:col>0</xdr:col>
                    <xdr:colOff>1895475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2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I15" sqref="I14:I15"/>
    </sheetView>
  </sheetViews>
  <sheetFormatPr defaultRowHeight="15" x14ac:dyDescent="0.25"/>
  <cols>
    <col min="2" max="2" width="34.7109375" customWidth="1"/>
    <col min="3" max="3" width="19.5703125" customWidth="1"/>
    <col min="4" max="4" width="23" bestFit="1" customWidth="1"/>
    <col min="5" max="5" width="25" bestFit="1" customWidth="1"/>
    <col min="6" max="6" width="45.140625" customWidth="1"/>
    <col min="7" max="7" width="18.5703125" style="4" customWidth="1"/>
    <col min="8" max="8" width="16" customWidth="1"/>
    <col min="9" max="9" width="66.5703125" style="13" customWidth="1"/>
  </cols>
  <sheetData>
    <row r="1" spans="1:9" x14ac:dyDescent="0.25">
      <c r="A1" s="3" t="s">
        <v>11</v>
      </c>
      <c r="B1" s="3" t="s">
        <v>16</v>
      </c>
      <c r="C1" s="3" t="s">
        <v>12</v>
      </c>
      <c r="D1" s="3" t="s">
        <v>39</v>
      </c>
      <c r="E1" s="3" t="s">
        <v>13</v>
      </c>
      <c r="F1" s="3" t="s">
        <v>50</v>
      </c>
      <c r="G1" s="3" t="s">
        <v>17</v>
      </c>
      <c r="H1" s="3" t="s">
        <v>14</v>
      </c>
      <c r="I1" s="12" t="s">
        <v>15</v>
      </c>
    </row>
    <row r="2" spans="1:9" ht="60" x14ac:dyDescent="0.25">
      <c r="A2" s="4">
        <f>ROW(A2)-1</f>
        <v>1</v>
      </c>
      <c r="B2" t="s">
        <v>4</v>
      </c>
      <c r="C2" t="s">
        <v>4</v>
      </c>
      <c r="D2" t="s">
        <v>4</v>
      </c>
      <c r="E2" t="s">
        <v>5</v>
      </c>
      <c r="F2" t="str">
        <f>C2</f>
        <v>Noise Floor</v>
      </c>
      <c r="G2" s="4">
        <v>150</v>
      </c>
      <c r="H2" s="5">
        <f>IF(G2="","",(Setup!B$1*10000 +G2))</f>
        <v>110150</v>
      </c>
      <c r="I2" s="13" t="s">
        <v>72</v>
      </c>
    </row>
    <row r="3" spans="1:9" x14ac:dyDescent="0.25">
      <c r="A3" s="4">
        <f t="shared" ref="A3:A31" si="0">ROW(A3)-1</f>
        <v>2</v>
      </c>
      <c r="B3" t="s">
        <v>0</v>
      </c>
      <c r="C3" t="s">
        <v>1</v>
      </c>
      <c r="D3" t="s">
        <v>40</v>
      </c>
      <c r="E3" t="s">
        <v>18</v>
      </c>
      <c r="F3" t="str">
        <f>C3 &amp; " " &amp; D3 &amp; " " &amp; RIGHT(E3,2)</f>
        <v>Left Speaker Frequency Response LL</v>
      </c>
      <c r="G3" s="4">
        <v>210</v>
      </c>
      <c r="H3" s="5">
        <f>IF(G3="","",(Setup!B$1*10000 +G3))</f>
        <v>110210</v>
      </c>
      <c r="I3" s="13" t="str">
        <f>C3 &amp; " " &amp; D3 &amp; IF(ISERROR(SEARCH("LL",E3))," Above UL"," Below LL")</f>
        <v>Left Speaker Frequency Response Below LL</v>
      </c>
    </row>
    <row r="4" spans="1:9" x14ac:dyDescent="0.25">
      <c r="A4" s="4">
        <f t="shared" si="0"/>
        <v>3</v>
      </c>
      <c r="B4" t="s">
        <v>0</v>
      </c>
      <c r="C4" t="s">
        <v>1</v>
      </c>
      <c r="D4" t="s">
        <v>40</v>
      </c>
      <c r="E4" t="s">
        <v>19</v>
      </c>
      <c r="F4" t="str">
        <f t="shared" ref="F4:F17" si="1">C4 &amp; " " &amp; D4 &amp; " " &amp; RIGHT(E4,2)</f>
        <v>Left Speaker Frequency Response UL</v>
      </c>
      <c r="G4" s="4">
        <v>211</v>
      </c>
      <c r="H4" s="5">
        <f>IF(G4="","",(Setup!B$1*10000 +G4))</f>
        <v>110211</v>
      </c>
      <c r="I4" s="13" t="str">
        <f t="shared" ref="I4:I17" si="2">C4 &amp; " " &amp; D4 &amp; IF(ISERROR(SEARCH("LL",E4))," Above UL"," Below LL")</f>
        <v>Left Speaker Frequency Response Above UL</v>
      </c>
    </row>
    <row r="5" spans="1:9" x14ac:dyDescent="0.25">
      <c r="A5" s="4">
        <f t="shared" si="0"/>
        <v>4</v>
      </c>
      <c r="B5" t="s">
        <v>2</v>
      </c>
      <c r="C5" t="s">
        <v>3</v>
      </c>
      <c r="D5" t="s">
        <v>40</v>
      </c>
      <c r="E5" t="s">
        <v>18</v>
      </c>
      <c r="F5" t="str">
        <f t="shared" si="1"/>
        <v>Right Speaker Frequency Response LL</v>
      </c>
      <c r="G5" s="4">
        <v>221</v>
      </c>
      <c r="H5" s="5">
        <f>IF(G5="","",(Setup!B$1*10000 +G5))</f>
        <v>110221</v>
      </c>
      <c r="I5" s="13" t="str">
        <f t="shared" si="2"/>
        <v>Right Speaker Frequency Response Below LL</v>
      </c>
    </row>
    <row r="6" spans="1:9" x14ac:dyDescent="0.25">
      <c r="A6" s="4">
        <f t="shared" si="0"/>
        <v>5</v>
      </c>
      <c r="B6" t="s">
        <v>2</v>
      </c>
      <c r="C6" t="s">
        <v>3</v>
      </c>
      <c r="D6" t="s">
        <v>40</v>
      </c>
      <c r="E6" t="s">
        <v>19</v>
      </c>
      <c r="F6" t="str">
        <f t="shared" si="1"/>
        <v>Right Speaker Frequency Response UL</v>
      </c>
      <c r="G6" s="4">
        <v>222</v>
      </c>
      <c r="H6" s="5">
        <f>IF(G6="","",(Setup!B$1*10000 +G6))</f>
        <v>110222</v>
      </c>
      <c r="I6" s="13" t="str">
        <f t="shared" si="2"/>
        <v>Right Speaker Frequency Response Above UL</v>
      </c>
    </row>
    <row r="7" spans="1:9" x14ac:dyDescent="0.25">
      <c r="A7" s="4">
        <f t="shared" si="0"/>
        <v>6</v>
      </c>
      <c r="B7" t="s">
        <v>42</v>
      </c>
      <c r="C7" t="s">
        <v>38</v>
      </c>
      <c r="D7" t="s">
        <v>40</v>
      </c>
      <c r="E7" t="s">
        <v>21</v>
      </c>
      <c r="F7" t="str">
        <f t="shared" si="1"/>
        <v>Microphone Frequency Response LL</v>
      </c>
      <c r="G7" s="4">
        <v>200</v>
      </c>
      <c r="H7" s="5">
        <f>IF(G7="","",(Setup!B$1*10000 +G7))</f>
        <v>110200</v>
      </c>
      <c r="I7" s="13" t="str">
        <f t="shared" si="2"/>
        <v>Microphone Frequency Response Below LL</v>
      </c>
    </row>
    <row r="8" spans="1:9" x14ac:dyDescent="0.25">
      <c r="A8" s="4">
        <f t="shared" si="0"/>
        <v>7</v>
      </c>
      <c r="B8" t="s">
        <v>42</v>
      </c>
      <c r="C8" t="s">
        <v>38</v>
      </c>
      <c r="D8" t="s">
        <v>40</v>
      </c>
      <c r="E8" t="s">
        <v>22</v>
      </c>
      <c r="F8" t="str">
        <f t="shared" si="1"/>
        <v>Microphone Frequency Response UL</v>
      </c>
      <c r="G8" s="4">
        <f t="shared" ref="G8" si="3">G7+1</f>
        <v>201</v>
      </c>
      <c r="H8" s="5">
        <f>IF(G8="","",(Setup!B$1*10000 +G8))</f>
        <v>110201</v>
      </c>
      <c r="I8" s="13" t="str">
        <f t="shared" si="2"/>
        <v>Microphone Frequency Response Above UL</v>
      </c>
    </row>
    <row r="9" spans="1:9" ht="45" x14ac:dyDescent="0.25">
      <c r="A9" s="4">
        <f t="shared" si="0"/>
        <v>8</v>
      </c>
      <c r="B9" t="s">
        <v>43</v>
      </c>
      <c r="C9" t="s">
        <v>1</v>
      </c>
      <c r="D9" t="s">
        <v>41</v>
      </c>
      <c r="E9" t="s">
        <v>25</v>
      </c>
      <c r="F9" t="str">
        <f>C9 &amp; " " &amp; D9 &amp; " " &amp; RIGHT(E9,8)</f>
        <v>Left Speaker Normal THD 0-200 UL</v>
      </c>
      <c r="G9" s="4">
        <v>311</v>
      </c>
      <c r="H9" s="5">
        <f>IF(G9="","",(Setup!B$1*10000 +G9))</f>
        <v>110311</v>
      </c>
      <c r="I9" s="13" t="s">
        <v>57</v>
      </c>
    </row>
    <row r="10" spans="1:9" ht="30" x14ac:dyDescent="0.25">
      <c r="A10" s="4">
        <f t="shared" si="0"/>
        <v>9</v>
      </c>
      <c r="B10" t="s">
        <v>43</v>
      </c>
      <c r="C10" t="s">
        <v>1</v>
      </c>
      <c r="D10" t="s">
        <v>41</v>
      </c>
      <c r="E10" t="s">
        <v>26</v>
      </c>
      <c r="F10" t="str">
        <f>C10 &amp; " " &amp; D10 &amp; " " &amp; RIGHT(E10,10)</f>
        <v>Left Speaker Normal THD 201-800 UL</v>
      </c>
      <c r="G10" s="4">
        <f>G9+1</f>
        <v>312</v>
      </c>
      <c r="H10" s="5">
        <f>IF(G10="","",(Setup!B$1*10000 +G10))</f>
        <v>110312</v>
      </c>
      <c r="I10" s="13" t="s">
        <v>62</v>
      </c>
    </row>
    <row r="11" spans="1:9" ht="30" x14ac:dyDescent="0.25">
      <c r="A11" s="4">
        <f t="shared" si="0"/>
        <v>10</v>
      </c>
      <c r="B11" t="s">
        <v>43</v>
      </c>
      <c r="C11" t="s">
        <v>1</v>
      </c>
      <c r="D11" t="s">
        <v>41</v>
      </c>
      <c r="E11" t="s">
        <v>27</v>
      </c>
      <c r="F11" t="str">
        <f>C11 &amp; " " &amp; D11 &amp; " " &amp; RIGHT(E11,9)</f>
        <v>Left Speaker Normal THD 801-6K UL</v>
      </c>
      <c r="G11" s="4">
        <f t="shared" ref="G11:G12" si="4">G10+1</f>
        <v>313</v>
      </c>
      <c r="H11" s="5">
        <f>IF(G11="","",(Setup!B$1*10000 +G11))</f>
        <v>110313</v>
      </c>
      <c r="I11" s="13" t="s">
        <v>75</v>
      </c>
    </row>
    <row r="12" spans="1:9" ht="30" x14ac:dyDescent="0.25">
      <c r="A12" s="4">
        <f t="shared" si="0"/>
        <v>11</v>
      </c>
      <c r="B12" t="s">
        <v>43</v>
      </c>
      <c r="C12" t="s">
        <v>1</v>
      </c>
      <c r="D12" t="s">
        <v>41</v>
      </c>
      <c r="E12" t="s">
        <v>28</v>
      </c>
      <c r="F12" t="str">
        <f>C12 &amp; " " &amp; D12 &amp; " " &amp; RIGHT(E12,9)</f>
        <v>Left Speaker Normal THD 6K-10K UL</v>
      </c>
      <c r="G12" s="4">
        <f t="shared" si="4"/>
        <v>314</v>
      </c>
      <c r="H12" s="5">
        <f>IF(G12="","",(Setup!B$1*10000 +G12))</f>
        <v>110314</v>
      </c>
      <c r="I12" s="13" t="s">
        <v>79</v>
      </c>
    </row>
    <row r="13" spans="1:9" ht="45" x14ac:dyDescent="0.25">
      <c r="A13" s="4">
        <f t="shared" si="0"/>
        <v>12</v>
      </c>
      <c r="B13" t="s">
        <v>44</v>
      </c>
      <c r="C13" t="s">
        <v>3</v>
      </c>
      <c r="D13" t="s">
        <v>41</v>
      </c>
      <c r="E13" t="s">
        <v>25</v>
      </c>
      <c r="F13" t="str">
        <f>C13 &amp; " " &amp; D13 &amp; " " &amp; RIGHT(E13,8)</f>
        <v>Right Speaker Normal THD 0-200 UL</v>
      </c>
      <c r="G13" s="4">
        <v>321</v>
      </c>
      <c r="H13" s="5">
        <f>IF(G13="","",(Setup!B$1*10000 +G13))</f>
        <v>110321</v>
      </c>
      <c r="I13" s="13" t="s">
        <v>74</v>
      </c>
    </row>
    <row r="14" spans="1:9" ht="30" x14ac:dyDescent="0.25">
      <c r="A14" s="4">
        <f t="shared" si="0"/>
        <v>13</v>
      </c>
      <c r="B14" t="s">
        <v>44</v>
      </c>
      <c r="C14" t="s">
        <v>3</v>
      </c>
      <c r="D14" t="s">
        <v>41</v>
      </c>
      <c r="E14" t="s">
        <v>26</v>
      </c>
      <c r="F14" t="str">
        <f>C14 &amp; " " &amp; D14 &amp; " " &amp; RIGHT(E14,10)</f>
        <v>Right Speaker Normal THD 201-800 UL</v>
      </c>
      <c r="G14" s="4">
        <f>G13+1</f>
        <v>322</v>
      </c>
      <c r="H14" s="5">
        <f>IF(G14="","",(Setup!B$1*10000 +G14))</f>
        <v>110322</v>
      </c>
      <c r="I14" s="13" t="s">
        <v>63</v>
      </c>
    </row>
    <row r="15" spans="1:9" ht="30" x14ac:dyDescent="0.25">
      <c r="A15" s="4">
        <f t="shared" si="0"/>
        <v>14</v>
      </c>
      <c r="B15" t="s">
        <v>44</v>
      </c>
      <c r="C15" t="s">
        <v>3</v>
      </c>
      <c r="D15" t="s">
        <v>41</v>
      </c>
      <c r="E15" t="s">
        <v>27</v>
      </c>
      <c r="F15" t="str">
        <f>C15 &amp; " " &amp; D15 &amp; " " &amp; RIGHT(E15,9)</f>
        <v>Right Speaker Normal THD 801-6K UL</v>
      </c>
      <c r="G15" s="4">
        <f t="shared" ref="G15:G16" si="5">G14+1</f>
        <v>323</v>
      </c>
      <c r="H15" s="5">
        <f>IF(G15="","",(Setup!B$1*10000 +G15))</f>
        <v>110323</v>
      </c>
      <c r="I15" s="13" t="s">
        <v>76</v>
      </c>
    </row>
    <row r="16" spans="1:9" ht="30" x14ac:dyDescent="0.25">
      <c r="A16" s="4">
        <f t="shared" si="0"/>
        <v>15</v>
      </c>
      <c r="B16" t="s">
        <v>44</v>
      </c>
      <c r="C16" t="s">
        <v>3</v>
      </c>
      <c r="D16" t="s">
        <v>41</v>
      </c>
      <c r="E16" t="s">
        <v>28</v>
      </c>
      <c r="F16" t="str">
        <f>C16 &amp; " " &amp; D16 &amp; " " &amp; RIGHT(E16,9)</f>
        <v>Right Speaker Normal THD 6K-10K UL</v>
      </c>
      <c r="G16" s="4">
        <f t="shared" si="5"/>
        <v>324</v>
      </c>
      <c r="H16" s="5">
        <f>IF(G16="","",(Setup!B$1*10000 +G16))</f>
        <v>110324</v>
      </c>
      <c r="I16" s="13" t="s">
        <v>78</v>
      </c>
    </row>
    <row r="17" spans="1:9" x14ac:dyDescent="0.25">
      <c r="A17" s="4">
        <f t="shared" si="0"/>
        <v>16</v>
      </c>
      <c r="B17" t="s">
        <v>45</v>
      </c>
      <c r="C17" t="s">
        <v>38</v>
      </c>
      <c r="D17" t="s">
        <v>41</v>
      </c>
      <c r="E17" t="s">
        <v>23</v>
      </c>
      <c r="F17" t="str">
        <f t="shared" si="1"/>
        <v>Microphone Normal THD UL</v>
      </c>
      <c r="G17" s="4">
        <v>300</v>
      </c>
      <c r="H17" s="5">
        <f>IF(G17="","",(Setup!B$1*10000 +G17))</f>
        <v>110300</v>
      </c>
      <c r="I17" s="13" t="str">
        <f t="shared" si="2"/>
        <v>Microphone Normal THD Above UL</v>
      </c>
    </row>
    <row r="18" spans="1:9" ht="60" x14ac:dyDescent="0.25">
      <c r="A18" s="4">
        <f t="shared" si="0"/>
        <v>17</v>
      </c>
      <c r="B18" t="s">
        <v>46</v>
      </c>
      <c r="C18" t="s">
        <v>1</v>
      </c>
      <c r="D18" t="s">
        <v>51</v>
      </c>
      <c r="E18" t="s">
        <v>30</v>
      </c>
      <c r="F18" t="str">
        <f>C18 &amp; " " &amp; D18 &amp; " " &amp; RIGHT(E18,8)</f>
        <v>Left Speaker Norm Rub and Buzz 0-200 UL</v>
      </c>
      <c r="G18" s="4">
        <v>411</v>
      </c>
      <c r="H18" s="5">
        <f>IF(G18="","",(Setup!B$1*10000 +G18))</f>
        <v>110411</v>
      </c>
      <c r="I18" s="13" t="s">
        <v>58</v>
      </c>
    </row>
    <row r="19" spans="1:9" ht="45" x14ac:dyDescent="0.25">
      <c r="A19" s="4">
        <f t="shared" si="0"/>
        <v>18</v>
      </c>
      <c r="B19" t="s">
        <v>46</v>
      </c>
      <c r="C19" t="s">
        <v>1</v>
      </c>
      <c r="D19" t="s">
        <v>51</v>
      </c>
      <c r="E19" t="s">
        <v>31</v>
      </c>
      <c r="F19" t="str">
        <f>C19 &amp; " " &amp; D19 &amp; " " &amp; RIGHT(E19,10)</f>
        <v>Left Speaker Norm Rub and Buzz 201-800 UL</v>
      </c>
      <c r="G19" s="4">
        <f>G18+1</f>
        <v>412</v>
      </c>
      <c r="H19" s="5">
        <f>IF(G19="","",(Setup!B$1*10000 +G19))</f>
        <v>110412</v>
      </c>
      <c r="I19" s="13" t="s">
        <v>64</v>
      </c>
    </row>
    <row r="20" spans="1:9" ht="30" x14ac:dyDescent="0.25">
      <c r="A20" s="4">
        <f t="shared" si="0"/>
        <v>19</v>
      </c>
      <c r="B20" t="s">
        <v>46</v>
      </c>
      <c r="C20" t="s">
        <v>1</v>
      </c>
      <c r="D20" t="s">
        <v>51</v>
      </c>
      <c r="E20" t="s">
        <v>32</v>
      </c>
      <c r="F20" t="str">
        <f>C20 &amp; " " &amp; D20 &amp; " " &amp; RIGHT(E20,9)</f>
        <v>Left Speaker Norm Rub and Buzz 1-2000 UL</v>
      </c>
      <c r="G20" s="4">
        <f t="shared" ref="G20" si="6">G19+1</f>
        <v>413</v>
      </c>
      <c r="H20" s="5">
        <f>IF(G20="","",(Setup!B$1*10000 +G20))</f>
        <v>110413</v>
      </c>
      <c r="I20" s="13" t="s">
        <v>68</v>
      </c>
    </row>
    <row r="21" spans="1:9" ht="60" x14ac:dyDescent="0.25">
      <c r="A21" s="4">
        <f t="shared" si="0"/>
        <v>20</v>
      </c>
      <c r="B21" t="s">
        <v>47</v>
      </c>
      <c r="C21" t="s">
        <v>3</v>
      </c>
      <c r="D21" t="s">
        <v>51</v>
      </c>
      <c r="E21" t="s">
        <v>30</v>
      </c>
      <c r="F21" t="str">
        <f>C21 &amp; " " &amp; D21 &amp; " " &amp; RIGHT(E21,8)</f>
        <v>Right Speaker Norm Rub and Buzz 0-200 UL</v>
      </c>
      <c r="G21" s="4">
        <v>421</v>
      </c>
      <c r="H21" s="5">
        <f>IF(G21="","",(Setup!B$1*10000 +G21))</f>
        <v>110421</v>
      </c>
      <c r="I21" s="13" t="s">
        <v>59</v>
      </c>
    </row>
    <row r="22" spans="1:9" ht="45" x14ac:dyDescent="0.25">
      <c r="A22" s="4">
        <f t="shared" si="0"/>
        <v>21</v>
      </c>
      <c r="B22" t="s">
        <v>47</v>
      </c>
      <c r="C22" t="s">
        <v>3</v>
      </c>
      <c r="D22" t="s">
        <v>51</v>
      </c>
      <c r="E22" t="s">
        <v>31</v>
      </c>
      <c r="F22" t="str">
        <f>C22 &amp; " " &amp; D22 &amp; " " &amp; RIGHT(E22,10)</f>
        <v>Right Speaker Norm Rub and Buzz 201-800 UL</v>
      </c>
      <c r="G22" s="4">
        <f>G21+1</f>
        <v>422</v>
      </c>
      <c r="H22" s="5">
        <f>IF(G22="","",(Setup!B$1*10000 +G22))</f>
        <v>110422</v>
      </c>
      <c r="I22" s="13" t="s">
        <v>65</v>
      </c>
    </row>
    <row r="23" spans="1:9" ht="45" x14ac:dyDescent="0.25">
      <c r="A23" s="4">
        <f t="shared" si="0"/>
        <v>22</v>
      </c>
      <c r="B23" t="s">
        <v>47</v>
      </c>
      <c r="C23" t="s">
        <v>3</v>
      </c>
      <c r="D23" t="s">
        <v>51</v>
      </c>
      <c r="E23" t="s">
        <v>32</v>
      </c>
      <c r="F23" t="str">
        <f>C23 &amp; " " &amp; D23 &amp; " " &amp; RIGHT(E23,9)</f>
        <v>Right Speaker Norm Rub and Buzz 1-2000 UL</v>
      </c>
      <c r="G23" s="4">
        <f>G22+1</f>
        <v>423</v>
      </c>
      <c r="H23" s="5">
        <f>IF(G23="","",(Setup!B$1*10000 +G23))</f>
        <v>110423</v>
      </c>
      <c r="I23" s="13" t="s">
        <v>69</v>
      </c>
    </row>
    <row r="24" spans="1:9" ht="60" x14ac:dyDescent="0.25">
      <c r="A24" s="4">
        <f t="shared" si="0"/>
        <v>23</v>
      </c>
      <c r="B24" t="s">
        <v>48</v>
      </c>
      <c r="C24" t="s">
        <v>1</v>
      </c>
      <c r="D24" t="s">
        <v>52</v>
      </c>
      <c r="E24" t="s">
        <v>34</v>
      </c>
      <c r="F24" t="str">
        <f>C24 &amp; " " &amp; D24 &amp; " " &amp; RIGHT(E24,8)</f>
        <v>Left Speaker Percep Rub and Buzz 0-200 UL</v>
      </c>
      <c r="G24" s="4">
        <v>511</v>
      </c>
      <c r="H24" s="5">
        <f>IF(G24="","",(Setup!B$1*10000 +G24))</f>
        <v>110511</v>
      </c>
      <c r="I24" s="13" t="s">
        <v>60</v>
      </c>
    </row>
    <row r="25" spans="1:9" ht="45" x14ac:dyDescent="0.25">
      <c r="A25" s="4">
        <f t="shared" si="0"/>
        <v>24</v>
      </c>
      <c r="B25" t="s">
        <v>48</v>
      </c>
      <c r="C25" t="s">
        <v>1</v>
      </c>
      <c r="D25" t="s">
        <v>52</v>
      </c>
      <c r="E25" t="s">
        <v>35</v>
      </c>
      <c r="F25" t="str">
        <f>C25 &amp; " " &amp; D25 &amp; " " &amp; RIGHT(E25,10)</f>
        <v>Left Speaker Percep Rub and Buzz 201-800 UL</v>
      </c>
      <c r="G25" s="4">
        <f>G24+1</f>
        <v>512</v>
      </c>
      <c r="H25" s="5">
        <f>IF(G25="","",(Setup!B$1*10000 +G25))</f>
        <v>110512</v>
      </c>
      <c r="I25" s="13" t="s">
        <v>66</v>
      </c>
    </row>
    <row r="26" spans="1:9" ht="45" x14ac:dyDescent="0.25">
      <c r="A26" s="4">
        <f t="shared" si="0"/>
        <v>25</v>
      </c>
      <c r="B26" t="s">
        <v>48</v>
      </c>
      <c r="C26" t="s">
        <v>1</v>
      </c>
      <c r="D26" t="s">
        <v>52</v>
      </c>
      <c r="E26" t="s">
        <v>36</v>
      </c>
      <c r="F26" t="str">
        <f>C26 &amp; " " &amp; D26 &amp; " " &amp; RIGHT(E26,9)</f>
        <v>Left Speaker Percep Rub and Buzz 801-6K UL</v>
      </c>
      <c r="G26" s="4">
        <f>G25+1</f>
        <v>513</v>
      </c>
      <c r="H26" s="5">
        <f>IF(G26="","",(Setup!B$1*10000 +G26))</f>
        <v>110513</v>
      </c>
      <c r="I26" s="13" t="s">
        <v>70</v>
      </c>
    </row>
    <row r="27" spans="1:9" ht="30" x14ac:dyDescent="0.25">
      <c r="A27" s="4">
        <f t="shared" si="0"/>
        <v>26</v>
      </c>
      <c r="B27" t="s">
        <v>48</v>
      </c>
      <c r="C27" t="s">
        <v>1</v>
      </c>
      <c r="D27" t="s">
        <v>52</v>
      </c>
      <c r="E27" t="s">
        <v>37</v>
      </c>
      <c r="F27" t="str">
        <f>C27 &amp; " " &amp; D27 &amp; " " &amp; RIGHT(E27,9)</f>
        <v>Left Speaker Percep Rub and Buzz 6K-10K UL</v>
      </c>
      <c r="G27" s="4">
        <f>G26+1</f>
        <v>514</v>
      </c>
      <c r="H27" s="5">
        <f>IF(G27="","",(Setup!B$1*10000 +G27))</f>
        <v>110514</v>
      </c>
      <c r="I27" s="13" t="s">
        <v>77</v>
      </c>
    </row>
    <row r="28" spans="1:9" ht="60" x14ac:dyDescent="0.25">
      <c r="A28" s="4">
        <f t="shared" si="0"/>
        <v>27</v>
      </c>
      <c r="B28" t="s">
        <v>49</v>
      </c>
      <c r="C28" t="s">
        <v>3</v>
      </c>
      <c r="D28" t="s">
        <v>52</v>
      </c>
      <c r="E28" t="s">
        <v>34</v>
      </c>
      <c r="F28" t="str">
        <f>C28 &amp; " " &amp; D28 &amp; " " &amp; RIGHT(E28,8)</f>
        <v>Right Speaker Percep Rub and Buzz 0-200 UL</v>
      </c>
      <c r="G28" s="4">
        <v>521</v>
      </c>
      <c r="H28" s="5">
        <f>IF(G28="","",(Setup!B$1*10000 +G28))</f>
        <v>110521</v>
      </c>
      <c r="I28" s="13" t="s">
        <v>61</v>
      </c>
    </row>
    <row r="29" spans="1:9" ht="30" x14ac:dyDescent="0.25">
      <c r="A29" s="4">
        <f t="shared" si="0"/>
        <v>28</v>
      </c>
      <c r="B29" t="s">
        <v>49</v>
      </c>
      <c r="C29" t="s">
        <v>3</v>
      </c>
      <c r="D29" t="s">
        <v>52</v>
      </c>
      <c r="E29" t="s">
        <v>35</v>
      </c>
      <c r="F29" t="str">
        <f>C29 &amp; " " &amp; D29 &amp; " " &amp; RIGHT(E29,10)</f>
        <v>Right Speaker Percep Rub and Buzz 201-800 UL</v>
      </c>
      <c r="G29" s="4">
        <f>G28+1</f>
        <v>522</v>
      </c>
      <c r="H29" s="5">
        <f>IF(G29="","",(Setup!B$1*10000 +G29))</f>
        <v>110522</v>
      </c>
      <c r="I29" s="13" t="s">
        <v>67</v>
      </c>
    </row>
    <row r="30" spans="1:9" ht="30" x14ac:dyDescent="0.25">
      <c r="A30" s="4">
        <f t="shared" si="0"/>
        <v>29</v>
      </c>
      <c r="B30" t="s">
        <v>49</v>
      </c>
      <c r="C30" t="s">
        <v>3</v>
      </c>
      <c r="D30" t="s">
        <v>52</v>
      </c>
      <c r="E30" t="s">
        <v>36</v>
      </c>
      <c r="F30" t="str">
        <f>C30 &amp; " " &amp; D30 &amp; " " &amp; RIGHT(E30,9)</f>
        <v>Right Speaker Percep Rub and Buzz 801-6K UL</v>
      </c>
      <c r="G30" s="4">
        <f t="shared" ref="G30:G31" si="7">G29+1</f>
        <v>523</v>
      </c>
      <c r="H30" s="5">
        <f>IF(G30="","",(Setup!B$1*10000 +G30))</f>
        <v>110523</v>
      </c>
      <c r="I30" s="13" t="s">
        <v>71</v>
      </c>
    </row>
    <row r="31" spans="1:9" ht="30" x14ac:dyDescent="0.25">
      <c r="A31" s="4">
        <f t="shared" si="0"/>
        <v>30</v>
      </c>
      <c r="B31" t="s">
        <v>49</v>
      </c>
      <c r="C31" t="s">
        <v>3</v>
      </c>
      <c r="D31" t="s">
        <v>52</v>
      </c>
      <c r="E31" t="s">
        <v>37</v>
      </c>
      <c r="F31" t="str">
        <f>C31 &amp; " " &amp; D31 &amp; " " &amp; RIGHT(E31,9)</f>
        <v>Right Speaker Percep Rub and Buzz 6K-10K UL</v>
      </c>
      <c r="G31" s="4">
        <f t="shared" si="7"/>
        <v>524</v>
      </c>
      <c r="H31" s="5">
        <f>IF(G31="","",(Setup!B$1*10000 +G31))</f>
        <v>110524</v>
      </c>
      <c r="I31" s="13" t="s">
        <v>73</v>
      </c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2" sqref="B2"/>
    </sheetView>
  </sheetViews>
  <sheetFormatPr defaultRowHeight="15" x14ac:dyDescent="0.25"/>
  <cols>
    <col min="1" max="1" width="25.28515625" customWidth="1"/>
    <col min="2" max="2" width="35.85546875" customWidth="1"/>
    <col min="3" max="3" width="70.42578125" customWidth="1"/>
  </cols>
  <sheetData>
    <row r="1" spans="1:2" x14ac:dyDescent="0.25">
      <c r="A1" s="3" t="s">
        <v>6</v>
      </c>
      <c r="B1" s="3" t="s">
        <v>7</v>
      </c>
    </row>
    <row r="2" spans="1:2" x14ac:dyDescent="0.25">
      <c r="A2" s="4" t="s">
        <v>10</v>
      </c>
      <c r="B2" s="4" t="s">
        <v>53</v>
      </c>
    </row>
    <row r="3" spans="1:2" x14ac:dyDescent="0.25">
      <c r="A3">
        <v>50</v>
      </c>
      <c r="B3">
        <v>50</v>
      </c>
    </row>
    <row r="4" spans="1:2" x14ac:dyDescent="0.25">
      <c r="A4">
        <v>250</v>
      </c>
      <c r="B4">
        <v>40</v>
      </c>
    </row>
    <row r="5" spans="1:2" x14ac:dyDescent="0.25">
      <c r="A5">
        <v>1000</v>
      </c>
      <c r="B5">
        <v>25</v>
      </c>
    </row>
    <row r="6" spans="1:2" x14ac:dyDescent="0.25">
      <c r="A6">
        <v>20000</v>
      </c>
      <c r="B6">
        <v>-8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6"/>
  <sheetViews>
    <sheetView workbookViewId="0">
      <selection activeCell="A2" sqref="A2:B2"/>
    </sheetView>
  </sheetViews>
  <sheetFormatPr defaultRowHeight="15" x14ac:dyDescent="0.25"/>
  <cols>
    <col min="1" max="1" width="25.28515625" customWidth="1"/>
    <col min="2" max="2" width="35.85546875" customWidth="1"/>
    <col min="3" max="3" width="70.42578125" customWidth="1"/>
  </cols>
  <sheetData>
    <row r="1" spans="1:2" x14ac:dyDescent="0.25">
      <c r="A1" s="3" t="s">
        <v>6</v>
      </c>
      <c r="B1" s="3" t="s">
        <v>7</v>
      </c>
    </row>
    <row r="2" spans="1:2" x14ac:dyDescent="0.25">
      <c r="A2" s="4" t="s">
        <v>10</v>
      </c>
      <c r="B2" s="4" t="s">
        <v>9</v>
      </c>
    </row>
    <row r="3" spans="1:2" x14ac:dyDescent="0.25">
      <c r="A3">
        <v>63</v>
      </c>
      <c r="B3">
        <v>76.39</v>
      </c>
    </row>
    <row r="4" spans="1:2" x14ac:dyDescent="0.25">
      <c r="A4">
        <v>80</v>
      </c>
      <c r="B4">
        <v>82.39</v>
      </c>
    </row>
    <row r="5" spans="1:2" x14ac:dyDescent="0.25">
      <c r="A5">
        <v>100</v>
      </c>
      <c r="B5">
        <v>85.39</v>
      </c>
    </row>
    <row r="6" spans="1:2" x14ac:dyDescent="0.25">
      <c r="A6">
        <v>125</v>
      </c>
      <c r="B6">
        <v>87.39</v>
      </c>
    </row>
    <row r="7" spans="1:2" x14ac:dyDescent="0.25">
      <c r="A7">
        <v>160</v>
      </c>
      <c r="B7">
        <v>89.39</v>
      </c>
    </row>
    <row r="8" spans="1:2" x14ac:dyDescent="0.25">
      <c r="A8">
        <v>200</v>
      </c>
      <c r="B8">
        <v>89.39</v>
      </c>
    </row>
    <row r="9" spans="1:2" x14ac:dyDescent="0.25">
      <c r="A9">
        <v>400</v>
      </c>
      <c r="B9">
        <v>89.39</v>
      </c>
    </row>
    <row r="10" spans="1:2" x14ac:dyDescent="0.25">
      <c r="A10">
        <v>1000</v>
      </c>
      <c r="B10">
        <v>89.39</v>
      </c>
    </row>
    <row r="11" spans="1:2" x14ac:dyDescent="0.25">
      <c r="A11">
        <v>1800</v>
      </c>
      <c r="B11">
        <v>88.39</v>
      </c>
    </row>
    <row r="12" spans="1:2" x14ac:dyDescent="0.25">
      <c r="A12">
        <v>1900</v>
      </c>
      <c r="B12">
        <v>88.39</v>
      </c>
    </row>
    <row r="13" spans="1:2" x14ac:dyDescent="0.25">
      <c r="A13">
        <v>5000</v>
      </c>
      <c r="B13">
        <v>84.39</v>
      </c>
    </row>
    <row r="14" spans="1:2" x14ac:dyDescent="0.25">
      <c r="A14">
        <v>6000</v>
      </c>
      <c r="B14">
        <v>82.39</v>
      </c>
    </row>
    <row r="15" spans="1:2" x14ac:dyDescent="0.25">
      <c r="A15">
        <v>8000</v>
      </c>
      <c r="B15">
        <v>82.39</v>
      </c>
    </row>
    <row r="16" spans="1:2" x14ac:dyDescent="0.25">
      <c r="A16">
        <v>16000</v>
      </c>
      <c r="B16">
        <v>82.39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3"/>
  <sheetViews>
    <sheetView workbookViewId="0">
      <selection activeCell="A2" sqref="A2:B2"/>
    </sheetView>
  </sheetViews>
  <sheetFormatPr defaultRowHeight="15" x14ac:dyDescent="0.25"/>
  <cols>
    <col min="1" max="1" width="25.28515625" customWidth="1"/>
    <col min="2" max="2" width="35.85546875" customWidth="1"/>
    <col min="3" max="3" width="70.42578125" customWidth="1"/>
  </cols>
  <sheetData>
    <row r="1" spans="1:3" x14ac:dyDescent="0.25">
      <c r="A1" s="3" t="s">
        <v>6</v>
      </c>
      <c r="B1" s="3" t="s">
        <v>7</v>
      </c>
      <c r="C1" s="3"/>
    </row>
    <row r="2" spans="1:3" x14ac:dyDescent="0.25">
      <c r="A2" s="4" t="s">
        <v>10</v>
      </c>
      <c r="B2" s="4" t="s">
        <v>9</v>
      </c>
    </row>
    <row r="3" spans="1:3" x14ac:dyDescent="0.25">
      <c r="A3">
        <v>63</v>
      </c>
      <c r="B3">
        <v>87.47</v>
      </c>
    </row>
    <row r="4" spans="1:3" x14ac:dyDescent="0.25">
      <c r="A4">
        <v>80</v>
      </c>
      <c r="B4">
        <v>93.47</v>
      </c>
    </row>
    <row r="5" spans="1:3" x14ac:dyDescent="0.25">
      <c r="A5">
        <v>100</v>
      </c>
      <c r="B5">
        <v>97.47</v>
      </c>
    </row>
    <row r="6" spans="1:3" x14ac:dyDescent="0.25">
      <c r="A6">
        <v>125</v>
      </c>
      <c r="B6">
        <v>98.47</v>
      </c>
    </row>
    <row r="7" spans="1:3" x14ac:dyDescent="0.25">
      <c r="A7">
        <v>160</v>
      </c>
      <c r="B7">
        <v>99.47</v>
      </c>
    </row>
    <row r="8" spans="1:3" x14ac:dyDescent="0.25">
      <c r="A8">
        <v>1000</v>
      </c>
      <c r="B8">
        <v>99.47</v>
      </c>
    </row>
    <row r="9" spans="1:3" x14ac:dyDescent="0.25">
      <c r="A9">
        <v>1800</v>
      </c>
      <c r="B9">
        <v>99.47</v>
      </c>
    </row>
    <row r="10" spans="1:3" x14ac:dyDescent="0.25">
      <c r="A10">
        <v>1900</v>
      </c>
      <c r="B10">
        <v>99.47</v>
      </c>
    </row>
    <row r="11" spans="1:3" x14ac:dyDescent="0.25">
      <c r="A11">
        <v>5000</v>
      </c>
      <c r="B11">
        <v>96.47</v>
      </c>
    </row>
    <row r="12" spans="1:3" x14ac:dyDescent="0.25">
      <c r="A12">
        <v>8000</v>
      </c>
      <c r="B12">
        <v>96.47</v>
      </c>
    </row>
    <row r="13" spans="1:3" x14ac:dyDescent="0.25">
      <c r="A13">
        <v>16000</v>
      </c>
      <c r="B13">
        <v>96.47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2" sqref="A2:B2"/>
    </sheetView>
  </sheetViews>
  <sheetFormatPr defaultRowHeight="15" x14ac:dyDescent="0.25"/>
  <cols>
    <col min="1" max="1" width="25.28515625" customWidth="1"/>
    <col min="2" max="2" width="35.85546875" customWidth="1"/>
    <col min="3" max="3" width="70.42578125" customWidth="1"/>
  </cols>
  <sheetData>
    <row r="1" spans="1:2" x14ac:dyDescent="0.25">
      <c r="A1" s="3" t="s">
        <v>6</v>
      </c>
      <c r="B1" s="3" t="s">
        <v>7</v>
      </c>
    </row>
    <row r="2" spans="1:2" x14ac:dyDescent="0.25">
      <c r="A2" s="4" t="s">
        <v>10</v>
      </c>
      <c r="B2" s="4" t="s">
        <v>54</v>
      </c>
    </row>
    <row r="3" spans="1:2" x14ac:dyDescent="0.25">
      <c r="A3">
        <v>113.31</v>
      </c>
      <c r="B3">
        <v>-51.78</v>
      </c>
    </row>
    <row r="4" spans="1:2" x14ac:dyDescent="0.25">
      <c r="A4">
        <v>181.22</v>
      </c>
      <c r="B4">
        <v>-27.48</v>
      </c>
    </row>
    <row r="5" spans="1:2" x14ac:dyDescent="0.25">
      <c r="A5">
        <v>226.43</v>
      </c>
      <c r="B5">
        <v>-24.48</v>
      </c>
    </row>
    <row r="6" spans="1:2" x14ac:dyDescent="0.25">
      <c r="A6">
        <v>271.73</v>
      </c>
      <c r="B6">
        <v>-23.48</v>
      </c>
    </row>
    <row r="7" spans="1:2" x14ac:dyDescent="0.25">
      <c r="A7">
        <v>2086.02</v>
      </c>
      <c r="B7">
        <v>-23.48</v>
      </c>
    </row>
    <row r="8" spans="1:2" x14ac:dyDescent="0.25">
      <c r="A8">
        <v>2816.22</v>
      </c>
      <c r="B8">
        <v>-26.48</v>
      </c>
    </row>
    <row r="9" spans="1:2" x14ac:dyDescent="0.25">
      <c r="A9">
        <v>4800.8</v>
      </c>
      <c r="B9">
        <v>-24.48</v>
      </c>
    </row>
    <row r="10" spans="1:2" x14ac:dyDescent="0.25">
      <c r="A10">
        <v>9057.94</v>
      </c>
      <c r="B10">
        <v>-24.48</v>
      </c>
    </row>
    <row r="11" spans="1:2" x14ac:dyDescent="0.25">
      <c r="A11">
        <v>18115.98</v>
      </c>
      <c r="B11">
        <v>-31.78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1"/>
  <sheetViews>
    <sheetView workbookViewId="0">
      <selection activeCell="A2" sqref="A2:B2"/>
    </sheetView>
  </sheetViews>
  <sheetFormatPr defaultRowHeight="15" x14ac:dyDescent="0.25"/>
  <cols>
    <col min="1" max="1" width="25.28515625" customWidth="1"/>
    <col min="2" max="2" width="35.85546875" customWidth="1"/>
    <col min="3" max="3" width="70.42578125" customWidth="1"/>
  </cols>
  <sheetData>
    <row r="1" spans="1:2" x14ac:dyDescent="0.25">
      <c r="A1" s="3" t="s">
        <v>6</v>
      </c>
      <c r="B1" s="3" t="s">
        <v>7</v>
      </c>
    </row>
    <row r="2" spans="1:2" x14ac:dyDescent="0.25">
      <c r="A2" s="4" t="s">
        <v>10</v>
      </c>
      <c r="B2" s="4" t="s">
        <v>54</v>
      </c>
    </row>
    <row r="3" spans="1:2" x14ac:dyDescent="0.25">
      <c r="A3">
        <v>113.27</v>
      </c>
      <c r="B3">
        <v>-26.82</v>
      </c>
    </row>
    <row r="4" spans="1:2" x14ac:dyDescent="0.25">
      <c r="A4">
        <v>181.17</v>
      </c>
      <c r="B4">
        <v>-13.52</v>
      </c>
    </row>
    <row r="5" spans="1:2" x14ac:dyDescent="0.25">
      <c r="A5">
        <v>226.44</v>
      </c>
      <c r="B5">
        <v>-12.52</v>
      </c>
    </row>
    <row r="6" spans="1:2" x14ac:dyDescent="0.25">
      <c r="A6">
        <v>271.70999999999998</v>
      </c>
      <c r="B6">
        <v>-11.52</v>
      </c>
    </row>
    <row r="7" spans="1:2" x14ac:dyDescent="0.25">
      <c r="A7">
        <v>1043.03</v>
      </c>
      <c r="B7">
        <v>-11.82</v>
      </c>
    </row>
    <row r="8" spans="1:2" x14ac:dyDescent="0.25">
      <c r="A8">
        <v>2086.06</v>
      </c>
      <c r="B8">
        <v>-10.52</v>
      </c>
    </row>
    <row r="9" spans="1:2" x14ac:dyDescent="0.25">
      <c r="A9">
        <v>4528.9399999999996</v>
      </c>
      <c r="B9">
        <v>-11.52</v>
      </c>
    </row>
    <row r="10" spans="1:2" x14ac:dyDescent="0.25">
      <c r="A10">
        <v>9057.99</v>
      </c>
      <c r="B10">
        <v>-4.5199999999999996</v>
      </c>
    </row>
    <row r="11" spans="1:2" x14ac:dyDescent="0.25">
      <c r="A11">
        <v>18115.98</v>
      </c>
      <c r="B11">
        <v>-4.5199999999999996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workbookViewId="0">
      <selection activeCell="B8" sqref="B8"/>
    </sheetView>
  </sheetViews>
  <sheetFormatPr defaultRowHeight="15" x14ac:dyDescent="0.25"/>
  <cols>
    <col min="1" max="1" width="25.28515625" customWidth="1"/>
    <col min="2" max="2" width="35.85546875" customWidth="1"/>
    <col min="3" max="3" width="15.85546875" customWidth="1"/>
  </cols>
  <sheetData>
    <row r="1" spans="1:3" x14ac:dyDescent="0.25">
      <c r="A1" s="3" t="s">
        <v>6</v>
      </c>
      <c r="B1" s="3" t="s">
        <v>7</v>
      </c>
      <c r="C1" s="3" t="s">
        <v>81</v>
      </c>
    </row>
    <row r="2" spans="1:3" x14ac:dyDescent="0.25">
      <c r="A2" s="4" t="s">
        <v>10</v>
      </c>
      <c r="B2" s="4" t="s">
        <v>55</v>
      </c>
    </row>
    <row r="3" spans="1:3" x14ac:dyDescent="0.25">
      <c r="A3" s="6">
        <v>70</v>
      </c>
      <c r="B3" s="7">
        <v>50</v>
      </c>
      <c r="C3">
        <v>50</v>
      </c>
    </row>
    <row r="4" spans="1:3" x14ac:dyDescent="0.25">
      <c r="A4" s="6">
        <v>100</v>
      </c>
      <c r="B4" s="7">
        <v>33</v>
      </c>
      <c r="C4">
        <v>33</v>
      </c>
    </row>
    <row r="5" spans="1:3" x14ac:dyDescent="0.25">
      <c r="A5" s="6">
        <v>150</v>
      </c>
      <c r="B5" s="7">
        <v>10</v>
      </c>
      <c r="C5">
        <v>10</v>
      </c>
    </row>
    <row r="6" spans="1:3" x14ac:dyDescent="0.25">
      <c r="A6" s="6">
        <v>200</v>
      </c>
      <c r="B6" s="7">
        <v>7</v>
      </c>
    </row>
    <row r="7" spans="1:3" x14ac:dyDescent="0.25">
      <c r="A7" s="8">
        <v>201</v>
      </c>
      <c r="B7">
        <v>7</v>
      </c>
    </row>
    <row r="8" spans="1:3" x14ac:dyDescent="0.25">
      <c r="A8" s="8">
        <v>250</v>
      </c>
      <c r="B8">
        <v>6</v>
      </c>
      <c r="C8">
        <v>5</v>
      </c>
    </row>
    <row r="9" spans="1:3" x14ac:dyDescent="0.25">
      <c r="A9" s="8">
        <v>700</v>
      </c>
      <c r="B9">
        <v>6</v>
      </c>
      <c r="C9">
        <v>5</v>
      </c>
    </row>
    <row r="10" spans="1:3" x14ac:dyDescent="0.25">
      <c r="A10" s="8">
        <v>800</v>
      </c>
      <c r="B10">
        <v>6</v>
      </c>
    </row>
    <row r="11" spans="1:3" x14ac:dyDescent="0.25">
      <c r="A11" s="9">
        <v>801</v>
      </c>
      <c r="B11">
        <v>50</v>
      </c>
    </row>
    <row r="12" spans="1:3" x14ac:dyDescent="0.25">
      <c r="A12" s="9">
        <v>1000</v>
      </c>
      <c r="B12">
        <v>50</v>
      </c>
      <c r="C12">
        <v>3</v>
      </c>
    </row>
    <row r="13" spans="1:3" x14ac:dyDescent="0.25">
      <c r="A13" s="9">
        <v>6000</v>
      </c>
      <c r="B13">
        <v>50</v>
      </c>
    </row>
    <row r="14" spans="1:3" x14ac:dyDescent="0.25">
      <c r="A14" s="10">
        <v>6001</v>
      </c>
      <c r="B14">
        <v>50</v>
      </c>
    </row>
    <row r="15" spans="1:3" x14ac:dyDescent="0.25">
      <c r="A15" s="10">
        <v>10000</v>
      </c>
      <c r="B15">
        <v>50</v>
      </c>
      <c r="C15"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activeCell="C10" sqref="C10"/>
    </sheetView>
  </sheetViews>
  <sheetFormatPr defaultRowHeight="15" x14ac:dyDescent="0.25"/>
  <cols>
    <col min="1" max="3" width="8.570312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55</v>
      </c>
      <c r="C2" s="4"/>
    </row>
    <row r="3" spans="1:3" x14ac:dyDescent="0.25">
      <c r="A3">
        <v>70</v>
      </c>
      <c r="B3">
        <v>50</v>
      </c>
      <c r="C3">
        <v>50</v>
      </c>
    </row>
    <row r="4" spans="1:3" x14ac:dyDescent="0.25">
      <c r="A4">
        <v>100</v>
      </c>
      <c r="B4">
        <v>33</v>
      </c>
      <c r="C4">
        <v>33</v>
      </c>
    </row>
    <row r="5" spans="1:3" x14ac:dyDescent="0.25">
      <c r="A5">
        <v>150</v>
      </c>
      <c r="B5">
        <v>10</v>
      </c>
      <c r="C5">
        <v>10</v>
      </c>
    </row>
    <row r="6" spans="1:3" x14ac:dyDescent="0.25">
      <c r="A6">
        <v>200</v>
      </c>
      <c r="B6">
        <v>7</v>
      </c>
      <c r="C6">
        <v>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5"/>
  <sheetViews>
    <sheetView workbookViewId="0">
      <selection activeCell="D25" sqref="D25"/>
    </sheetView>
  </sheetViews>
  <sheetFormatPr defaultRowHeight="15" x14ac:dyDescent="0.25"/>
  <cols>
    <col min="1" max="3" width="7.710937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84</v>
      </c>
    </row>
    <row r="2" spans="1:3" x14ac:dyDescent="0.25">
      <c r="A2" s="4" t="s">
        <v>10</v>
      </c>
      <c r="B2" s="4" t="s">
        <v>55</v>
      </c>
      <c r="C2" s="4"/>
    </row>
    <row r="3" spans="1:3" x14ac:dyDescent="0.25">
      <c r="A3">
        <v>201</v>
      </c>
      <c r="B3">
        <v>7</v>
      </c>
      <c r="C3">
        <v>6</v>
      </c>
    </row>
    <row r="4" spans="1:3" x14ac:dyDescent="0.25">
      <c r="A4">
        <v>700</v>
      </c>
      <c r="B4">
        <v>6</v>
      </c>
      <c r="C4">
        <v>4.5</v>
      </c>
    </row>
    <row r="5" spans="1:3" x14ac:dyDescent="0.25">
      <c r="A5">
        <v>800</v>
      </c>
      <c r="B5">
        <v>6</v>
      </c>
      <c r="C5">
        <v>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4"/>
  <sheetViews>
    <sheetView workbookViewId="0">
      <selection activeCell="B4" sqref="B4"/>
    </sheetView>
  </sheetViews>
  <sheetFormatPr defaultRowHeight="15" x14ac:dyDescent="0.25"/>
  <cols>
    <col min="1" max="3" width="14.2851562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55</v>
      </c>
      <c r="C2" s="4"/>
    </row>
    <row r="3" spans="1:3" x14ac:dyDescent="0.25">
      <c r="A3">
        <v>801</v>
      </c>
      <c r="B3">
        <v>50</v>
      </c>
      <c r="C3">
        <v>4</v>
      </c>
    </row>
    <row r="4" spans="1:3" x14ac:dyDescent="0.25">
      <c r="A4">
        <v>6000</v>
      </c>
      <c r="B4">
        <v>50</v>
      </c>
      <c r="C4">
        <v>1.5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"/>
  <sheetViews>
    <sheetView workbookViewId="0">
      <selection activeCell="B5" sqref="B5"/>
    </sheetView>
  </sheetViews>
  <sheetFormatPr defaultRowHeight="15" x14ac:dyDescent="0.25"/>
  <cols>
    <col min="1" max="3" width="12.4257812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55</v>
      </c>
      <c r="C2" s="4"/>
    </row>
    <row r="3" spans="1:3" x14ac:dyDescent="0.25">
      <c r="A3">
        <v>6001</v>
      </c>
      <c r="B3">
        <v>50</v>
      </c>
      <c r="C3">
        <v>1.5</v>
      </c>
    </row>
    <row r="4" spans="1:3" x14ac:dyDescent="0.25">
      <c r="A4">
        <v>10000</v>
      </c>
      <c r="B4">
        <v>50</v>
      </c>
      <c r="C4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B3" sqref="B3"/>
    </sheetView>
  </sheetViews>
  <sheetFormatPr defaultRowHeight="15" x14ac:dyDescent="0.25"/>
  <cols>
    <col min="1" max="3" width="14.8554687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55</v>
      </c>
      <c r="C2" s="4"/>
    </row>
    <row r="3" spans="1:3" x14ac:dyDescent="0.25">
      <c r="A3">
        <v>50</v>
      </c>
      <c r="B3">
        <v>50</v>
      </c>
      <c r="C3">
        <v>50</v>
      </c>
    </row>
    <row r="4" spans="1:3" x14ac:dyDescent="0.25">
      <c r="A4">
        <v>100</v>
      </c>
      <c r="B4">
        <v>10</v>
      </c>
      <c r="C4">
        <v>10</v>
      </c>
    </row>
    <row r="5" spans="1:3" x14ac:dyDescent="0.25">
      <c r="A5">
        <v>150</v>
      </c>
      <c r="B5">
        <v>5</v>
      </c>
      <c r="C5">
        <v>5</v>
      </c>
    </row>
    <row r="6" spans="1:3" x14ac:dyDescent="0.25">
      <c r="A6">
        <v>250</v>
      </c>
      <c r="B6">
        <v>2.5</v>
      </c>
      <c r="C6">
        <v>2.5</v>
      </c>
    </row>
    <row r="7" spans="1:3" x14ac:dyDescent="0.25">
      <c r="A7">
        <v>500</v>
      </c>
      <c r="B7">
        <v>2.5</v>
      </c>
      <c r="C7">
        <v>2.5</v>
      </c>
    </row>
    <row r="8" spans="1:3" x14ac:dyDescent="0.25">
      <c r="A8">
        <v>1000</v>
      </c>
      <c r="B8">
        <v>2.5</v>
      </c>
      <c r="C8">
        <v>2.5</v>
      </c>
    </row>
    <row r="9" spans="1:3" x14ac:dyDescent="0.25">
      <c r="A9">
        <v>10000</v>
      </c>
      <c r="B9">
        <v>2.5</v>
      </c>
      <c r="C9">
        <v>2.5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8"/>
  <sheetViews>
    <sheetView workbookViewId="0">
      <selection activeCell="C10" sqref="C10"/>
    </sheetView>
  </sheetViews>
  <sheetFormatPr defaultRowHeight="15" x14ac:dyDescent="0.25"/>
  <cols>
    <col min="1" max="2" width="14.5703125" customWidth="1"/>
    <col min="3" max="3" width="13" customWidth="1"/>
  </cols>
  <sheetData>
    <row r="1" spans="1:3" x14ac:dyDescent="0.25">
      <c r="A1" s="3" t="s">
        <v>6</v>
      </c>
      <c r="B1" s="3" t="s">
        <v>7</v>
      </c>
      <c r="C1" s="3" t="s">
        <v>82</v>
      </c>
    </row>
    <row r="2" spans="1:3" x14ac:dyDescent="0.25">
      <c r="A2" s="4" t="s">
        <v>10</v>
      </c>
      <c r="B2" s="4" t="s">
        <v>55</v>
      </c>
    </row>
    <row r="3" spans="1:3" x14ac:dyDescent="0.25">
      <c r="A3" s="6">
        <v>50</v>
      </c>
      <c r="B3">
        <v>2</v>
      </c>
      <c r="C3">
        <v>2</v>
      </c>
    </row>
    <row r="4" spans="1:3" x14ac:dyDescent="0.25">
      <c r="A4" s="6">
        <v>175</v>
      </c>
      <c r="B4">
        <v>0.3</v>
      </c>
      <c r="C4">
        <v>0.3</v>
      </c>
    </row>
    <row r="5" spans="1:3" x14ac:dyDescent="0.25">
      <c r="A5" s="6">
        <v>200</v>
      </c>
      <c r="B5">
        <v>0.3</v>
      </c>
    </row>
    <row r="6" spans="1:3" x14ac:dyDescent="0.25">
      <c r="A6" s="6">
        <v>800</v>
      </c>
      <c r="B6">
        <v>0.3</v>
      </c>
    </row>
    <row r="7" spans="1:3" x14ac:dyDescent="0.25">
      <c r="A7" s="9">
        <v>801</v>
      </c>
      <c r="B7">
        <v>2</v>
      </c>
    </row>
    <row r="8" spans="1:3" x14ac:dyDescent="0.25">
      <c r="A8" s="9">
        <v>2000</v>
      </c>
      <c r="B8">
        <v>2</v>
      </c>
      <c r="C8">
        <v>0.3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5"/>
  <sheetViews>
    <sheetView workbookViewId="0">
      <selection activeCell="B32" sqref="B32"/>
    </sheetView>
  </sheetViews>
  <sheetFormatPr defaultRowHeight="15" x14ac:dyDescent="0.25"/>
  <cols>
    <col min="1" max="1" width="25.28515625" customWidth="1"/>
    <col min="2" max="2" width="35.85546875" customWidth="1"/>
    <col min="3" max="3" width="26.5703125" customWidth="1"/>
  </cols>
  <sheetData>
    <row r="1" spans="1:2" x14ac:dyDescent="0.25">
      <c r="A1" s="3" t="s">
        <v>6</v>
      </c>
      <c r="B1" s="3" t="s">
        <v>7</v>
      </c>
    </row>
    <row r="2" spans="1:2" x14ac:dyDescent="0.25">
      <c r="A2" s="4" t="s">
        <v>10</v>
      </c>
      <c r="B2" s="4" t="s">
        <v>55</v>
      </c>
    </row>
    <row r="3" spans="1:2" x14ac:dyDescent="0.25">
      <c r="A3">
        <v>50</v>
      </c>
      <c r="B3">
        <v>2</v>
      </c>
    </row>
    <row r="4" spans="1:2" x14ac:dyDescent="0.25">
      <c r="A4">
        <v>175</v>
      </c>
      <c r="B4">
        <v>0.3</v>
      </c>
    </row>
    <row r="5" spans="1:2" x14ac:dyDescent="0.25">
      <c r="A5">
        <v>200</v>
      </c>
      <c r="B5">
        <v>0.3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>
      <selection activeCell="C1" sqref="C1"/>
    </sheetView>
  </sheetViews>
  <sheetFormatPr defaultRowHeight="15" x14ac:dyDescent="0.25"/>
  <cols>
    <col min="1" max="2" width="14.5703125" customWidth="1"/>
    <col min="3" max="3" width="15" customWidth="1"/>
  </cols>
  <sheetData>
    <row r="1" spans="1:3" x14ac:dyDescent="0.25">
      <c r="A1" s="3" t="s">
        <v>6</v>
      </c>
      <c r="B1" s="3" t="s">
        <v>7</v>
      </c>
      <c r="C1" s="14" t="s">
        <v>80</v>
      </c>
    </row>
    <row r="2" spans="1:3" x14ac:dyDescent="0.25">
      <c r="A2" s="4" t="s">
        <v>10</v>
      </c>
      <c r="B2" s="4" t="s">
        <v>55</v>
      </c>
    </row>
    <row r="3" spans="1:3" x14ac:dyDescent="0.25">
      <c r="A3">
        <v>201</v>
      </c>
      <c r="B3">
        <v>0.3</v>
      </c>
    </row>
    <row r="4" spans="1:3" x14ac:dyDescent="0.25">
      <c r="A4">
        <v>800</v>
      </c>
      <c r="B4">
        <v>0.3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4"/>
  <sheetViews>
    <sheetView workbookViewId="0">
      <selection activeCell="B5" sqref="B5"/>
    </sheetView>
  </sheetViews>
  <sheetFormatPr defaultRowHeight="15" x14ac:dyDescent="0.25"/>
  <cols>
    <col min="1" max="2" width="16.7109375" customWidth="1"/>
    <col min="3" max="3" width="16.285156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55</v>
      </c>
    </row>
    <row r="3" spans="1:3" x14ac:dyDescent="0.25">
      <c r="A3">
        <v>801</v>
      </c>
      <c r="B3">
        <v>2</v>
      </c>
      <c r="C3">
        <v>0.3</v>
      </c>
    </row>
    <row r="4" spans="1:3" x14ac:dyDescent="0.25">
      <c r="A4">
        <v>2000</v>
      </c>
      <c r="B4">
        <v>2</v>
      </c>
      <c r="C4">
        <v>0.3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B8" sqref="B8:B11"/>
    </sheetView>
  </sheetViews>
  <sheetFormatPr defaultRowHeight="15" x14ac:dyDescent="0.25"/>
  <cols>
    <col min="1" max="3" width="11.710937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83</v>
      </c>
    </row>
    <row r="2" spans="1:3" x14ac:dyDescent="0.25">
      <c r="A2" s="4" t="s">
        <v>10</v>
      </c>
      <c r="B2" s="4" t="s">
        <v>56</v>
      </c>
      <c r="C2" s="4"/>
    </row>
    <row r="3" spans="1:3" x14ac:dyDescent="0.25">
      <c r="A3">
        <v>50</v>
      </c>
      <c r="B3">
        <v>12</v>
      </c>
      <c r="C3">
        <v>12</v>
      </c>
    </row>
    <row r="4" spans="1:3" x14ac:dyDescent="0.25">
      <c r="A4">
        <v>150</v>
      </c>
      <c r="B4">
        <v>0.1</v>
      </c>
      <c r="C4">
        <v>0.1</v>
      </c>
    </row>
    <row r="5" spans="1:3" x14ac:dyDescent="0.25">
      <c r="A5">
        <v>200</v>
      </c>
      <c r="B5">
        <v>0.1</v>
      </c>
      <c r="C5">
        <v>0.1</v>
      </c>
    </row>
    <row r="6" spans="1:3" x14ac:dyDescent="0.25">
      <c r="A6">
        <v>201</v>
      </c>
      <c r="B6">
        <v>0.1</v>
      </c>
    </row>
    <row r="7" spans="1:3" x14ac:dyDescent="0.25">
      <c r="A7">
        <v>800</v>
      </c>
      <c r="B7">
        <v>0.1</v>
      </c>
    </row>
    <row r="8" spans="1:3" x14ac:dyDescent="0.25">
      <c r="A8">
        <v>801</v>
      </c>
      <c r="B8">
        <v>15</v>
      </c>
    </row>
    <row r="9" spans="1:3" x14ac:dyDescent="0.25">
      <c r="A9">
        <v>6000</v>
      </c>
      <c r="B9">
        <v>15</v>
      </c>
    </row>
    <row r="10" spans="1:3" x14ac:dyDescent="0.25">
      <c r="A10">
        <v>6001</v>
      </c>
      <c r="B10">
        <v>15</v>
      </c>
    </row>
    <row r="11" spans="1:3" x14ac:dyDescent="0.25">
      <c r="A11">
        <v>10000</v>
      </c>
      <c r="B11">
        <v>15</v>
      </c>
      <c r="C11">
        <v>0.1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5"/>
  <sheetViews>
    <sheetView workbookViewId="0">
      <selection activeCell="B18" sqref="B18"/>
    </sheetView>
  </sheetViews>
  <sheetFormatPr defaultRowHeight="15" x14ac:dyDescent="0.25"/>
  <cols>
    <col min="1" max="1" width="25.28515625" customWidth="1"/>
    <col min="2" max="2" width="35.85546875" customWidth="1"/>
    <col min="3" max="3" width="70.42578125" customWidth="1"/>
  </cols>
  <sheetData>
    <row r="1" spans="1:2" x14ac:dyDescent="0.25">
      <c r="A1" s="3" t="s">
        <v>6</v>
      </c>
      <c r="B1" s="3" t="s">
        <v>7</v>
      </c>
    </row>
    <row r="2" spans="1:2" x14ac:dyDescent="0.25">
      <c r="A2" s="4" t="s">
        <v>10</v>
      </c>
      <c r="B2" s="4" t="s">
        <v>56</v>
      </c>
    </row>
    <row r="3" spans="1:2" x14ac:dyDescent="0.25">
      <c r="A3">
        <v>50</v>
      </c>
      <c r="B3">
        <v>12</v>
      </c>
    </row>
    <row r="4" spans="1:2" x14ac:dyDescent="0.25">
      <c r="A4">
        <v>150</v>
      </c>
      <c r="B4">
        <v>0.1</v>
      </c>
    </row>
    <row r="5" spans="1:2" x14ac:dyDescent="0.25">
      <c r="A5">
        <v>200</v>
      </c>
      <c r="B5">
        <v>0.1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4"/>
  <sheetViews>
    <sheetView workbookViewId="0">
      <selection activeCell="C1" sqref="C1"/>
    </sheetView>
  </sheetViews>
  <sheetFormatPr defaultRowHeight="15" x14ac:dyDescent="0.25"/>
  <cols>
    <col min="1" max="3" width="7.2851562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56</v>
      </c>
      <c r="C2" s="4"/>
    </row>
    <row r="3" spans="1:3" x14ac:dyDescent="0.25">
      <c r="A3">
        <v>201</v>
      </c>
      <c r="B3">
        <v>0.1</v>
      </c>
    </row>
    <row r="4" spans="1:3" x14ac:dyDescent="0.25">
      <c r="A4">
        <v>800</v>
      </c>
      <c r="B4">
        <v>0.1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4"/>
  <sheetViews>
    <sheetView workbookViewId="0">
      <selection activeCell="D21" sqref="D21"/>
    </sheetView>
  </sheetViews>
  <sheetFormatPr defaultRowHeight="15" x14ac:dyDescent="0.25"/>
  <cols>
    <col min="1" max="3" width="7.4257812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56</v>
      </c>
      <c r="C2" s="4"/>
    </row>
    <row r="3" spans="1:3" x14ac:dyDescent="0.25">
      <c r="A3">
        <v>801</v>
      </c>
      <c r="B3">
        <v>15</v>
      </c>
      <c r="C3">
        <v>0.1</v>
      </c>
    </row>
    <row r="4" spans="1:3" x14ac:dyDescent="0.25">
      <c r="A4">
        <v>6000</v>
      </c>
      <c r="B4">
        <v>15</v>
      </c>
      <c r="C4">
        <v>0.1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4"/>
  <sheetViews>
    <sheetView workbookViewId="0">
      <selection activeCell="B5" sqref="B5"/>
    </sheetView>
  </sheetViews>
  <sheetFormatPr defaultRowHeight="15" x14ac:dyDescent="0.25"/>
  <cols>
    <col min="1" max="3" width="13.140625" customWidth="1"/>
    <col min="4" max="4" width="70.42578125" customWidth="1"/>
  </cols>
  <sheetData>
    <row r="1" spans="1:3" x14ac:dyDescent="0.25">
      <c r="A1" s="3" t="s">
        <v>6</v>
      </c>
      <c r="B1" s="3" t="s">
        <v>7</v>
      </c>
      <c r="C1" s="3" t="s">
        <v>80</v>
      </c>
    </row>
    <row r="2" spans="1:3" x14ac:dyDescent="0.25">
      <c r="A2" s="4" t="s">
        <v>10</v>
      </c>
      <c r="B2" s="4" t="s">
        <v>56</v>
      </c>
      <c r="C2" s="4"/>
    </row>
    <row r="3" spans="1:3" x14ac:dyDescent="0.25">
      <c r="A3">
        <v>6001</v>
      </c>
      <c r="B3">
        <v>15</v>
      </c>
      <c r="C3">
        <v>0.1</v>
      </c>
    </row>
    <row r="4" spans="1:3" x14ac:dyDescent="0.25">
      <c r="A4">
        <v>10000</v>
      </c>
      <c r="B4">
        <v>15</v>
      </c>
      <c r="C4">
        <v>0.1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Setup</vt:lpstr>
      <vt:lpstr>PlotLimitDef</vt:lpstr>
      <vt:lpstr>Noise Floor UL</vt:lpstr>
      <vt:lpstr>FreqResp Speaker LL</vt:lpstr>
      <vt:lpstr>FreqResp Speaker UL</vt:lpstr>
      <vt:lpstr>FreqResp Mic LL</vt:lpstr>
      <vt:lpstr>FreqResp Mic UL</vt:lpstr>
      <vt:lpstr>Norm THD UL</vt:lpstr>
      <vt:lpstr>Norm THD 0-200 UL</vt:lpstr>
      <vt:lpstr>Norm THD 201-800 UL</vt:lpstr>
      <vt:lpstr>Norm THD 801-6K UL</vt:lpstr>
      <vt:lpstr>Norm THD 6K-10K UL</vt:lpstr>
      <vt:lpstr>Norm THD Mic UL</vt:lpstr>
      <vt:lpstr>Norm RubBuz UL</vt:lpstr>
      <vt:lpstr>Norm RubBuz 0-200 UL</vt:lpstr>
      <vt:lpstr>Norm RubBuz 201-800 UL</vt:lpstr>
      <vt:lpstr>Norm RubBuz 801-2000 UL</vt:lpstr>
      <vt:lpstr>Percept RubBuz UL</vt:lpstr>
      <vt:lpstr>Percept RubBuz 0-200 UL</vt:lpstr>
      <vt:lpstr>Percept RubBuz 201-800 UL</vt:lpstr>
      <vt:lpstr>Percept RubBuz 801-6K UL</vt:lpstr>
      <vt:lpstr>Percept RubBuz 6K-10K UL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eddiek</dc:creator>
  <cp:lastModifiedBy>eddiek</cp:lastModifiedBy>
  <dcterms:created xsi:type="dcterms:W3CDTF">2018-09-25T14:41:17Z</dcterms:created>
  <dcterms:modified xsi:type="dcterms:W3CDTF">2018-09-26T20:51:22Z</dcterms:modified>
</cp:coreProperties>
</file>